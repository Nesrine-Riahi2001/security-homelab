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Écarts" sheetId="2" state="visible" r:id="rId4"/>
    <sheet name="Synthèse" sheetId="3" state="visible" r:id="rId5"/>
    <sheet name="Chronologie" sheetId="4" state="visible" r:id="rId6"/>
  </sheets>
  <definedNames>
    <definedName function="false" hidden="false" localSheetId="1" name="_xlnm.Print_Titles" vbProcedure="false">Écarts!$4:$4</definedName>
    <definedName function="false" hidden="true" localSheetId="1" name="_xlnm._FilterDatabase" vbProcedure="false">Écarts!$A$4:$M$49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<sst xmlns="http://schemas.openxmlformats.org/spreadsheetml/2006/main" count="615" uniqueCount="328">
  <si>
    <t xml:space="preserve">Carthago FinTech — Liste des écarts (étape 1)</t>
  </si>
  <si>
    <t xml:space="preserve">Étude de cas ISO/IEC 27001 Lead Implementer — document pédagogique, organisation fictive (v1.0, sept. 2026)</t>
  </si>
  <si>
    <t xml:space="preserve">Objectif</t>
  </si>
  <si>
    <t xml:space="preserve">Recenser les points faibles décrits dans le cas, avec leur source, afin d'alimenter ensuite l'analyse de risques, le plan de traitement et la déclaration d'applicabilité (SoA).</t>
  </si>
  <si>
    <t xml:space="preserve">Onglets</t>
  </si>
  <si>
    <t xml:space="preserve">Écarts : la liste principale (45 lignes) · Synthèse : comptages automatiques · Chronologie : l'incident du 3 sept. 2026 relié aux écarts.</t>
  </si>
  <si>
    <t xml:space="preserve">Cellules à modifier</t>
  </si>
  <si>
    <t xml:space="preserve">Colonnes à en-tête doré de l'onglet Écarts : Criticité proposée, Risque associé, Statut, Notes. Les cellules de ces colonnes sont en jaune clair (sauf Criticité, colorée selon sa valeur). Les autres colonnes décrivent le constat et peuvent être ajustées si besoin.</t>
  </si>
  <si>
    <t xml:space="preserve">Exemple de saisie</t>
  </si>
  <si>
    <t xml:space="preserve">Risque associé : R-03 · Statut : Confirmé · Notes : « Vérifier l'export des rôles Azure avec le CISO ».</t>
  </si>
  <si>
    <t xml:space="preserve">Colonne « Nature »</t>
  </si>
  <si>
    <t xml:space="preserve">Fait du cas = indiqué explicitement dans le document · Déduit = conclusion tirée du cas, à valider · À clarifier = information insuffisante, à confirmer lors des ateliers.</t>
  </si>
  <si>
    <t xml:space="preserve">Hypothèses et limites</t>
  </si>
  <si>
    <t xml:space="preserve">1) Tous les constats viennent uniquement du document du cas (v1.0) ; les numéros de section et de page renvoient à ce document. 2) La chronologie de l'incident et le délai d'environ 1 h (SOC-03) sont lus sur la Figure 4 : à revérifier sur le document. 3) Les contrôles de l'Annexe A ont été recoupés avec le texte de la norme ISO/IEC 27001:2022 ; le lien entre un écart et une clause ou un contrôle reste indicatif et doit être justifié dans votre analyse (ISO/IEC 27002:2022 donne le détail de chaque contrôle). 4) La criticité est une proposition de départ, à réévaluer avec votre propre méthode d'appréciation des risques. 5) Aucune preuve n'est encore disponible : la colonne « Preuve à demander » liste ce qu'il faudrait obtenir lors des ateliers.</t>
  </si>
  <si>
    <t xml:space="preserve">Étape suivante</t>
  </si>
  <si>
    <t xml:space="preserve">Regrouper ces écarts en risques (registre des risques), puis relier chaque risque à un traitement et à un contrôle de l'Annexe A pour la SoA.</t>
  </si>
  <si>
    <t xml:space="preserve">Légende des couleurs</t>
  </si>
  <si>
    <t xml:space="preserve">En-tête doré</t>
  </si>
  <si>
    <t xml:space="preserve">Colonne à compléter ou à ajuster</t>
  </si>
  <si>
    <t xml:space="preserve">Cellule jaune clair</t>
  </si>
  <si>
    <t xml:space="preserve">Cellule de saisie (risque associé, statut, notes)</t>
  </si>
  <si>
    <t xml:space="preserve">Haute / Moyenne / Faible</t>
  </si>
  <si>
    <t xml:space="preserve">Criticité proposée : Haute (rouge pâle), Moyenne (jaune), Faible (vert)</t>
  </si>
  <si>
    <t xml:space="preserve">Liste des écarts — Carthago FinTech</t>
  </si>
  <si>
    <t xml:space="preserve">Source : étude de cas v1.0 (sept. 2026). Colonnes à en-tête doré = à compléter. Filtres actifs sur la ligne d'en-tête.</t>
  </si>
  <si>
    <t xml:space="preserve">ID</t>
  </si>
  <si>
    <t xml:space="preserve">Domaine</t>
  </si>
  <si>
    <t xml:space="preserve">Constat (écart observé)</t>
  </si>
  <si>
    <t xml:space="preserve">Source dans le cas</t>
  </si>
  <si>
    <t xml:space="preserve">Nature</t>
  </si>
  <si>
    <t xml:space="preserve">Exigence ISO 27001:2022 (clause, indicatif)</t>
  </si>
  <si>
    <t xml:space="preserve">Contrôle(s) Annexe A (indicatif)</t>
  </si>
  <si>
    <t xml:space="preserve">Lié à l'incident du 3 sept. ?</t>
  </si>
  <si>
    <t xml:space="preserve">Criticité proposée</t>
  </si>
  <si>
    <t xml:space="preserve">Preuve à demander</t>
  </si>
  <si>
    <t xml:space="preserve">Risque associé (ID)</t>
  </si>
  <si>
    <t xml:space="preserve">Statut</t>
  </si>
  <si>
    <t xml:space="preserve">Notes personnelles</t>
  </si>
  <si>
    <t xml:space="preserve">GOV-01</t>
  </si>
  <si>
    <t xml:space="preserve">Gouvernance &amp; pilotage</t>
  </si>
  <si>
    <t xml:space="preserve">Les responsabilités relatives au SMSI n'ont jamais été formalisées de manière exhaustive ; certaines décisions de sécurité reposent sur des relations informelles entre CTO, CIO et CISO.</t>
  </si>
  <si>
    <t xml:space="preserve">§3, p.6</t>
  </si>
  <si>
    <t xml:space="preserve">Fait du cas</t>
  </si>
  <si>
    <t xml:space="preserve">5.3 ; 5.1</t>
  </si>
  <si>
    <t xml:space="preserve">A.5.2 ; A.5.4</t>
  </si>
  <si>
    <t xml:space="preserve">Non</t>
  </si>
  <si>
    <t xml:space="preserve">Haute</t>
  </si>
  <si>
    <t xml:space="preserve">Matrice RACI ou fiches de rôle, exemples de décisions sans propriétaire clair</t>
  </si>
  <si>
    <t xml:space="preserve">À analyser</t>
  </si>
  <si>
    <t xml:space="preserve">GOV-02</t>
  </si>
  <si>
    <t xml:space="preserve">Le comité Cyber &amp; Risques se réunit « en principe » tous les deux mois ; des comptes rendus existent mais le suivi des décisions n'est pas centralisé.</t>
  </si>
  <si>
    <t xml:space="preserve">5.1 ; 9.3 ; 10.2</t>
  </si>
  <si>
    <t xml:space="preserve">A.5.4</t>
  </si>
  <si>
    <t xml:space="preserve">Moyenne</t>
  </si>
  <si>
    <t xml:space="preserve">Comptes rendus des 12 derniers mois, registre des décisions et actions, fréquence réelle des réunions</t>
  </si>
  <si>
    <t xml:space="preserve">GOV-03</t>
  </si>
  <si>
    <t xml:space="preserve">Conformité, protection des données et gestion des fournisseurs sont répartis entre CISO, Risques &amp; Conformité, DPO et juridique, sans propriétaire unique identifié.</t>
  </si>
  <si>
    <t xml:space="preserve">Déduit</t>
  </si>
  <si>
    <t xml:space="preserve">5.3</t>
  </si>
  <si>
    <t xml:space="preserve">A.5.2 ; A.5.31</t>
  </si>
  <si>
    <t xml:space="preserve">Répartition des responsabilités par thème (RACI)</t>
  </si>
  <si>
    <t xml:space="preserve">GOV-04</t>
  </si>
  <si>
    <t xml:space="preserve">Plusieurs actions décidées lors de l'exercice de crise de novembre 2025 ont un suivi dispersé.</t>
  </si>
  <si>
    <t xml:space="preserve">§12, p.16</t>
  </si>
  <si>
    <t xml:space="preserve">9.3 ; 10.2</t>
  </si>
  <si>
    <t xml:space="preserve">A.5.27</t>
  </si>
  <si>
    <t xml:space="preserve">Plan d'actions issu de l'exercice, état de clôture de chaque action</t>
  </si>
  <si>
    <t xml:space="preserve">GOV-05</t>
  </si>
  <si>
    <t xml:space="preserve">Peu d'indicateurs relient la performance du SMSI aux objectifs métier ; les KPI disponibles sont surtout techniques.</t>
  </si>
  <si>
    <t xml:space="preserve">6.2 ; 9.1</t>
  </si>
  <si>
    <t xml:space="preserve">—</t>
  </si>
  <si>
    <t xml:space="preserve">Liste des KPI actuels, objectifs de sécurité, tableaux de bord présentés à la Direction</t>
  </si>
  <si>
    <t xml:space="preserve">GOV-06</t>
  </si>
  <si>
    <t xml:space="preserve">Les politiques existent (sécurité, classification, usage acceptable, incidents, accès) mais seules certaines ont été mises à jour en 2025 : cycle de revue et d'approbation non démontré.</t>
  </si>
  <si>
    <t xml:space="preserve">5.2 ; 7.5</t>
  </si>
  <si>
    <t xml:space="preserve">A.5.1</t>
  </si>
  <si>
    <t xml:space="preserve">Faible</t>
  </si>
  <si>
    <t xml:space="preserve">Dates de version et d'approbation, historique des revues de chaque politique</t>
  </si>
  <si>
    <t xml:space="preserve">ACT-01</t>
  </si>
  <si>
    <t xml:space="preserve">Actifs &amp; classification</t>
  </si>
  <si>
    <t xml:space="preserve">L'inventaire des actifs informationnels n'est pas consolidé à l'échelle de l'entreprise ; la CMDB technique est partielle.</t>
  </si>
  <si>
    <t xml:space="preserve">6.1.2</t>
  </si>
  <si>
    <t xml:space="preserve">A.5.9</t>
  </si>
  <si>
    <t xml:space="preserve">Extrait de la CMDB, liste des actifs informationnels, propriétaires d'actifs</t>
  </si>
  <si>
    <t xml:space="preserve">ACT-02</t>
  </si>
  <si>
    <t xml:space="preserve">La politique de classification à quatre niveaux (2025) n'est pas appliquée uniformément, notamment pour les exports de reporting et les documents partagés avec les partenaires.</t>
  </si>
  <si>
    <t xml:space="preserve">§5, p.9</t>
  </si>
  <si>
    <t xml:space="preserve">7.5 ; 8.1</t>
  </si>
  <si>
    <t xml:space="preserve">A.5.12 ; A.5.13 ; A.5.14</t>
  </si>
  <si>
    <t xml:space="preserve">Échantillon d'exports et de documents partenaires : présence du marquage de classification</t>
  </si>
  <si>
    <t xml:space="preserve">IAM-01</t>
  </si>
  <si>
    <t xml:space="preserve">IAM (identités &amp; accès)</t>
  </si>
  <si>
    <t xml:space="preserve">Lors des changements de fonction, l'ajout de nouveaux droits est correct, mais le retrait des droits historiques dépend souvent d'une action manuelle.</t>
  </si>
  <si>
    <t xml:space="preserve">§6, p.10</t>
  </si>
  <si>
    <t xml:space="preserve">8.1</t>
  </si>
  <si>
    <t xml:space="preserve">A.5.16 ; A.5.18</t>
  </si>
  <si>
    <t xml:space="preserve">Oui</t>
  </si>
  <si>
    <t xml:space="preserve">Procédure Mover, tickets de mobilité, comparaison des droits avant/après sur un échantillon</t>
  </si>
  <si>
    <t xml:space="preserve">IAM-02</t>
  </si>
  <si>
    <t xml:space="preserve">Revues d'accès semestrielles sur quelques systèmes critiques, annuelles ou ponctuelles sur les autres ; la revue n'avait pas détecté le rôle Azure hérité du compte compromis.</t>
  </si>
  <si>
    <t xml:space="preserve">§6, p.10 ; §13, p.17</t>
  </si>
  <si>
    <t xml:space="preserve">8.1 ; 9.1</t>
  </si>
  <si>
    <t xml:space="preserve">A.5.18</t>
  </si>
  <si>
    <t xml:space="preserve">Calendrier et comptes rendus des revues d'accès, périmètre couvert, écarts relevés</t>
  </si>
  <si>
    <t xml:space="preserve">IAM-03</t>
  </si>
  <si>
    <t xml:space="preserve">Accumulation de droits historiques sur quelques comptes Azure ; certains administrateurs conservent des rôles transverses entre environnements pour les interventions d'urgence.</t>
  </si>
  <si>
    <t xml:space="preserve">§6, p.10 ; §4, p.7</t>
  </si>
  <si>
    <t xml:space="preserve">A.8.2 ; A.5.15 ; A.5.3</t>
  </si>
  <si>
    <t xml:space="preserve">Export des rôles RBAC Azure / Entra ID, liste des rôles transverses et de leur justification</t>
  </si>
  <si>
    <t xml:space="preserve">IAM-04</t>
  </si>
  <si>
    <t xml:space="preserve">Le PAM (gestion des accès privilégiés) n'est qu'en phase pilote ; les comptes d'administration séparés ne couvrent que la plupart des équipes.</t>
  </si>
  <si>
    <t xml:space="preserve">A.8.2</t>
  </si>
  <si>
    <t xml:space="preserve">Périmètre du pilote PAM, liste des comptes d'administration et des comptes nominatifs</t>
  </si>
  <si>
    <t xml:space="preserve">IAM-05</t>
  </si>
  <si>
    <t xml:space="preserve">Le MFA couvre environ 94 % des comptes humains ; les exceptions techniques sont documentées de façon inégale.</t>
  </si>
  <si>
    <t xml:space="preserve">A.8.5</t>
  </si>
  <si>
    <t xml:space="preserve">Export Entra ID des comptes sans MFA, registre des exceptions</t>
  </si>
  <si>
    <t xml:space="preserve">IAM-06</t>
  </si>
  <si>
    <t xml:space="preserve">L'incident montre qu'une demande MFA par notification a été approuvée par l'utilisateur après plusieurs sollicitations (fatigue MFA) ; l'usage d'une méthode résistante au phishing ou du number matching n'est pas mentionné.</t>
  </si>
  <si>
    <t xml:space="preserve">§13, p.17</t>
  </si>
  <si>
    <t xml:space="preserve">6.1.2 ; 8.1</t>
  </si>
  <si>
    <t xml:space="preserve">A.8.5 ; A.5.17</t>
  </si>
  <si>
    <t xml:space="preserve">Méthodes MFA autorisées, politiques Conditional Access, paramètres Microsoft Authenticator</t>
  </si>
  <si>
    <t xml:space="preserve">IAM-07</t>
  </si>
  <si>
    <t xml:space="preserve">Plusieurs secrets statiques subsistent pour les comptes de service ; la rotation varie selon les applications. Des secrets ont dû être renouvelés après l'incident.</t>
  </si>
  <si>
    <t xml:space="preserve">A.5.17 ; A.5.16</t>
  </si>
  <si>
    <t xml:space="preserve">Inventaire des comptes de service et secrets, dates de dernière rotation, usage de Key Vault</t>
  </si>
  <si>
    <t xml:space="preserve">IAM-08</t>
  </si>
  <si>
    <t xml:space="preserve">La journalisation IAM est partielle : tous les événements d'identité ne sont pas corrélés dans le SIEM.</t>
  </si>
  <si>
    <t xml:space="preserve">§6, p.10 ; §8, p.12</t>
  </si>
  <si>
    <t xml:space="preserve">A.8.15 ; A.8.16</t>
  </si>
  <si>
    <t xml:space="preserve">Liste des événements Entra ID ingérés dans Sentinel, règles d'analyse associées</t>
  </si>
  <si>
    <t xml:space="preserve">IAM-09</t>
  </si>
  <si>
    <t xml:space="preserve">En avril 2026, un compte de consultant externe est resté actif 11 jours après la fin de sa mission ; l'état de mise en œuvre de la recommandation de renforcement est à confirmer.</t>
  </si>
  <si>
    <t xml:space="preserve">§6, p.10 ; §12, p.16</t>
  </si>
  <si>
    <t xml:space="preserve">8.1 ; 10.2</t>
  </si>
  <si>
    <t xml:space="preserve">Rapport de l'événement d'avril 2026, suivi de la recommandation, délai moyen de désactivation des comptes de départ</t>
  </si>
  <si>
    <t xml:space="preserve">CLD-01</t>
  </si>
  <si>
    <t xml:space="preserve">Cloud &amp; infrastructure</t>
  </si>
  <si>
    <t xml:space="preserve">Certaines ressources Azure restent créées manuellement (hors Infrastructure as Code) et quelques opérations d'administration et de maintenance sont manuelles.</t>
  </si>
  <si>
    <t xml:space="preserve">§4, p.7 ; §7, p.11 ; §12, p.16</t>
  </si>
  <si>
    <t xml:space="preserve">A.8.9 ; A.8.32</t>
  </si>
  <si>
    <t xml:space="preserve">Inventaire des ressources hors IaC, procédure d'administration manuelle</t>
  </si>
  <si>
    <t xml:space="preserve">CLD-02</t>
  </si>
  <si>
    <t xml:space="preserve">Un conteneur de stockage mal configuré a été détecté en février 2026 (exposition limitée, aucune donnée sensible confirmée) ; cause racine et actions correctives à confirmer.</t>
  </si>
  <si>
    <t xml:space="preserve">10.2</t>
  </si>
  <si>
    <t xml:space="preserve">A.8.9 ; A.5.23 ; A.8.3</t>
  </si>
  <si>
    <t xml:space="preserve">Rapport d'événement, règles Azure Policy / Defender for Cloud, actions de correction closes</t>
  </si>
  <si>
    <t xml:space="preserve">CLD-03</t>
  </si>
  <si>
    <t xml:space="preserve">La séparation des environnements DEV / TEST / PREPROD / PROD est logique et organisationnelle ; des administrateurs transverses existent et certaines équipes partagent des composants ou des jeux de données masqués issus de la production.</t>
  </si>
  <si>
    <t xml:space="preserve">§4, p.7 ; §7, p.11</t>
  </si>
  <si>
    <t xml:space="preserve">A.8.31 ; A.8.33 ; A.8.11</t>
  </si>
  <si>
    <t xml:space="preserve">Schéma des souscriptions Azure, procédure de masquage des données de test</t>
  </si>
  <si>
    <t xml:space="preserve">CLD-04</t>
  </si>
  <si>
    <t xml:space="preserve">Les changements urgents peuvent être autorisés par le CTO ou le CIO et documentés après coup ; la qualité des revues post-implémentation varie selon les équipes.</t>
  </si>
  <si>
    <t xml:space="preserve">§7, p.11</t>
  </si>
  <si>
    <t xml:space="preserve">A.8.32</t>
  </si>
  <si>
    <t xml:space="preserve">Échantillon de changements urgents et de leur documentation a posteriori</t>
  </si>
  <si>
    <t xml:space="preserve">DEV-01</t>
  </si>
  <si>
    <t xml:space="preserve">DevSecOps</t>
  </si>
  <si>
    <t xml:space="preserve">Les seuils de blocage des contrôles de sécurité ne sont pas homogènes : sur certaines applications historiques, les résultats génèrent un ticket sans empêcher le déploiement.</t>
  </si>
  <si>
    <t xml:space="preserve">A.8.25 ; A.8.29</t>
  </si>
  <si>
    <t xml:space="preserve">Configuration des pipelines GitLab par produit, politique de contrôles bloquants</t>
  </si>
  <si>
    <t xml:space="preserve">DEV-02</t>
  </si>
  <si>
    <t xml:space="preserve">Couverture SAST estimée à 80 % des dépôts actifs ; DAST appliqué principalement au portail et aux APIs exposées à Internet.</t>
  </si>
  <si>
    <t xml:space="preserve">A.8.28 ; A.8.29</t>
  </si>
  <si>
    <t xml:space="preserve">Liste des dépôts actifs avec et sans SAST, périmètre du DAST</t>
  </si>
  <si>
    <t xml:space="preserve">DEV-03</t>
  </si>
  <si>
    <t xml:space="preserve">L'analyse des dépendances (SCA) est en place sur les principaux projets seulement, avec des alertes non toujours bloquantes.</t>
  </si>
  <si>
    <t xml:space="preserve">A.8.8 ; A.5.21</t>
  </si>
  <si>
    <t xml:space="preserve">Rapports SCA, délais de correction des vulnérabilités critiques</t>
  </si>
  <si>
    <t xml:space="preserve">DEV-04</t>
  </si>
  <si>
    <t xml:space="preserve">Le scan de secrets n'a été déployé qu'en 2026 ; plusieurs anciens dépôts n'ont pas encore été totalement assainis (secrets potentiellement exposés).</t>
  </si>
  <si>
    <t xml:space="preserve">A.5.17 ; A.8.4 ; A.8.28</t>
  </si>
  <si>
    <t xml:space="preserve">Résultats du dernier scan sur les dépôts historiques, plan d'assainissement et de rotation</t>
  </si>
  <si>
    <t xml:space="preserve">SOC-01</t>
  </si>
  <si>
    <t xml:space="preserve">SOC &amp; journalisation</t>
  </si>
  <si>
    <t xml:space="preserve">Certains logs Kubernetes (AKS), événements Entra ID avancés et logs d'administration Azure ne sont pas collectés ou corrélés de façon uniforme dans Sentinel.</t>
  </si>
  <si>
    <t xml:space="preserve">§8, p.12</t>
  </si>
  <si>
    <t xml:space="preserve">Matrice sources de logs / couverture Sentinel, connecteurs actifs</t>
  </si>
  <si>
    <t xml:space="preserve">SOC-02</t>
  </si>
  <si>
    <t xml:space="preserve">En août 2026, il est découvert que certains logs AKS et Entra ID ne sont pas exploités dans les règles du SOC après une évolution d'architecture.</t>
  </si>
  <si>
    <t xml:space="preserve">A.8.16 ; A.8.32 ; A.8.15</t>
  </si>
  <si>
    <t xml:space="preserve">Processus reliant les changements d'architecture à la mise à jour des règles de détection</t>
  </si>
  <si>
    <t xml:space="preserve">SOC-03</t>
  </si>
  <si>
    <t xml:space="preserve">Environ 1 h s'écoule entre l'accès Azure de l'attaquant (19:06) et le blocage du compte (20:05), avec une alerte SIEM tardive (19:28) et une escalade P1 par le MSSP à 19:36.</t>
  </si>
  <si>
    <t xml:space="preserve">§13, p.17 (Figure 4)</t>
  </si>
  <si>
    <t xml:space="preserve">A.5.25 ; A.5.26 ; A.8.16</t>
  </si>
  <si>
    <t xml:space="preserve">Chronologie détaillée des logs, tickets MSSP, comparaison avec les SLA P1 (accusé 15 min, triage 30 min)</t>
  </si>
  <si>
    <t xml:space="preserve">SOC-04</t>
  </si>
  <si>
    <t xml:space="preserve">Le contrat MSSP a été signé avant la migration vers Kubernetes ; l'annexe décrivant les nouvelles sources de logs et les responsabilités de supervision n'est pas entièrement révisée.</t>
  </si>
  <si>
    <t xml:space="preserve">A.5.20 ; A.5.22</t>
  </si>
  <si>
    <t xml:space="preserve">Contrat et annexes MSSP, dernière revue contractuelle, SLA</t>
  </si>
  <si>
    <t xml:space="preserve">SOC-05</t>
  </si>
  <si>
    <t xml:space="preserve">Les exercices de simulation sont irréguliers ; la dernière table-top impliquant la Direction générale date de novembre 2025.</t>
  </si>
  <si>
    <t xml:space="preserve">7.2 ; 8.1</t>
  </si>
  <si>
    <t xml:space="preserve">A.5.24 ; A.5.27</t>
  </si>
  <si>
    <t xml:space="preserve">Calendrier et comptes rendus des exercices, plan d'exercices annuel</t>
  </si>
  <si>
    <t xml:space="preserve">CON-01</t>
  </si>
  <si>
    <t xml:space="preserve">Continuité &amp; résilience</t>
  </si>
  <si>
    <t xml:space="preserve">Le PCA et le PRA existent, mais leur articulation avec les exigences métier n'est pas démontrée par un BIA actualisé.</t>
  </si>
  <si>
    <t xml:space="preserve">§9, p.13</t>
  </si>
  <si>
    <t xml:space="preserve">A.5.29 ; A.5.30</t>
  </si>
  <si>
    <t xml:space="preserve">BIA, PCA/PRA approuvés, dates de dernière mise à jour</t>
  </si>
  <si>
    <t xml:space="preserve">CON-02</t>
  </si>
  <si>
    <t xml:space="preserve">Les RTO / RPO visés (ex. API de paiement : 30 min / 5 min) sont proposés par les métiers ; leur validation est à consolider.</t>
  </si>
  <si>
    <t xml:space="preserve">A.5.30</t>
  </si>
  <si>
    <t xml:space="preserve">Validation formelle des RTO / RPO par la Direction</t>
  </si>
  <si>
    <t xml:space="preserve">CON-03</t>
  </si>
  <si>
    <t xml:space="preserve">Test de restauration de juin 2026 : 6 h 40 pour une base de reporting contre un objectif documenté de 4 h ; le plan d'action associé n'est pas clos.</t>
  </si>
  <si>
    <t xml:space="preserve">§9, p.13 ; §12, p.16</t>
  </si>
  <si>
    <t xml:space="preserve">9.1 ; 10.2</t>
  </si>
  <si>
    <t xml:space="preserve">A.8.13 ; A.5.30</t>
  </si>
  <si>
    <t xml:space="preserve">Rapport du test de juin 2026, plan d'action, échéances</t>
  </si>
  <si>
    <t xml:space="preserve">CON-04</t>
  </si>
  <si>
    <t xml:space="preserve">Les tests techniques sont plus fréquents que les tests de bout en bout (métiers, support client, banques) ; les tests complets de restauration et de bascule vers la seconde région sont irréguliers.</t>
  </si>
  <si>
    <t xml:space="preserve">§9, p.13 ; Figure 2, p.8</t>
  </si>
  <si>
    <t xml:space="preserve">A.5.30 ; A.8.14</t>
  </si>
  <si>
    <t xml:space="preserve">Calendrier et résultats des tests PRA</t>
  </si>
  <si>
    <t xml:space="preserve">CON-05</t>
  </si>
  <si>
    <t xml:space="preserve">Possible incohérence : le RTO du reporting est de 8 h dans le tableau du §9, alors que l'objectif documenté du test de restauration est de 4 h.</t>
  </si>
  <si>
    <t xml:space="preserve">À clarifier</t>
  </si>
  <si>
    <t xml:space="preserve">Source des objectifs (BIA / PRA) ; vérifier s'il s'agit de bases ou de services différents</t>
  </si>
  <si>
    <t xml:space="preserve">FOU-01</t>
  </si>
  <si>
    <t xml:space="preserve">Fournisseurs &amp; tiers</t>
  </si>
  <si>
    <t xml:space="preserve">La grille d'évaluation des fournisseurs (2025) n'est pas appliquée à l'ensemble des prestataires historiques.</t>
  </si>
  <si>
    <t xml:space="preserve">§10, p.14</t>
  </si>
  <si>
    <t xml:space="preserve">A.5.19 ; A.5.21</t>
  </si>
  <si>
    <t xml:space="preserve">Liste des fournisseurs, évaluations réalisées, critères de la grille</t>
  </si>
  <si>
    <t xml:space="preserve">FOU-02</t>
  </si>
  <si>
    <t xml:space="preserve">Dans les contrats les plus anciens, droits d'audit, stratégie de sortie, localisation des données et sous-traitants ultérieurs ne sont pas traités de façon homogène.</t>
  </si>
  <si>
    <t xml:space="preserve">A.5.20 ; A.5.22 ; A.5.23</t>
  </si>
  <si>
    <t xml:space="preserve">Revue d'un échantillon de contrats critiques (Azure, MSSP, eKYC, OTP)</t>
  </si>
  <si>
    <t xml:space="preserve">FOU-03</t>
  </si>
  <si>
    <t xml:space="preserve">Les exigences de sécurité envers les fournisseurs sont rédigées au cas par cas (CISO, juridique, équipes techniques), sans clauses types identifiées.</t>
  </si>
  <si>
    <t xml:space="preserve">A.5.20</t>
  </si>
  <si>
    <t xml:space="preserve">Clauses types existantes, processus Achats</t>
  </si>
  <si>
    <t xml:space="preserve">FOU-04</t>
  </si>
  <si>
    <t xml:space="preserve">Dépendances critiques (Azure, MSSP, banques / acquéreurs) : répartition des responsabilités (responsabilité partagée cloud) et stratégie de sortie non démontrées.</t>
  </si>
  <si>
    <t xml:space="preserve">§10, p.14 ; §4, p.7</t>
  </si>
  <si>
    <t xml:space="preserve">A.5.21 ; A.5.23</t>
  </si>
  <si>
    <t xml:space="preserve">Matrice de responsabilités cloud, plans de sortie des fournisseurs critiques</t>
  </si>
  <si>
    <t xml:space="preserve">LEG-01</t>
  </si>
  <si>
    <t xml:space="preserve">Conformité légale</t>
  </si>
  <si>
    <t xml:space="preserve">L'applicabilité des textes tunisiens (loi 2016-48, circulaire BCT 2018-61, loi 2004-63, décret-loi 2023-17) et de PCI DSS reste à analyser ; aucun registre des exigences légales et contractuelles n'est mentionné.</t>
  </si>
  <si>
    <t xml:space="preserve">§11, p.15</t>
  </si>
  <si>
    <t xml:space="preserve">4.2 ; 6.1.3</t>
  </si>
  <si>
    <t xml:space="preserve">A.5.31 ; A.5.36</t>
  </si>
  <si>
    <t xml:space="preserve">Registre des exigences légales, réglementaires et contractuelles, avis du DPO / juridique</t>
  </si>
  <si>
    <t xml:space="preserve">LEG-02</t>
  </si>
  <si>
    <t xml:space="preserve">Données hébergées en France (Azure France Central) par une société tunisienne : traitements, sous-traitants, transferts et mécanismes contractuels à identifier ; l'applicabilité du RGPD est à confirmer.</t>
  </si>
  <si>
    <t xml:space="preserve">4.2</t>
  </si>
  <si>
    <t xml:space="preserve">A.5.34 ; A.5.31</t>
  </si>
  <si>
    <t xml:space="preserve">Registre des traitements, contrat de sous-traitance avec Microsoft, localisation des données clients et KYC</t>
  </si>
  <si>
    <t xml:space="preserve">LEG-03</t>
  </si>
  <si>
    <t xml:space="preserve">Le périmètre PCI DSS dépend du flux et de la tokenisation et n'est pas déterminé (PAN et CVV non conservés, token fourni par l'acquéreur).</t>
  </si>
  <si>
    <t xml:space="preserve">§11, p.15 ; §5, p.9</t>
  </si>
  <si>
    <t xml:space="preserve">Schéma du flux carte, exigences des acquéreurs</t>
  </si>
  <si>
    <t xml:space="preserve">HUM-01</t>
  </si>
  <si>
    <t xml:space="preserve">Sensibilisation &amp; compétences</t>
  </si>
  <si>
    <t xml:space="preserve">Campagne de sensibilisation annuelle et phishing simulé, mais formation spécialisée irrégulière pour les rôles à privilèges ; un ingénieur DevOps a saisi son mot de passe sur une fausse page et approuvé une demande MFA.</t>
  </si>
  <si>
    <t xml:space="preserve">§12, p.16 ; §13, p.17</t>
  </si>
  <si>
    <t xml:space="preserve">7.2 ; 7.3</t>
  </si>
  <si>
    <t xml:space="preserve">A.6.3</t>
  </si>
  <si>
    <t xml:space="preserve">Plan de formation, résultats des simulations de phishing (taux de clic / signalement), formations des administrateurs</t>
  </si>
  <si>
    <t xml:space="preserve">PIL-01</t>
  </si>
  <si>
    <t xml:space="preserve">Audit &amp; amélioration continue</t>
  </si>
  <si>
    <t xml:space="preserve">Aucun programme d'audit interne, revue de direction ou processus formalisé de non-conformités et d'actions correctives n'est mentionné ; plusieurs actions issues d'événements récents restent ouvertes ou dispersées.</t>
  </si>
  <si>
    <t xml:space="preserve">§12, p.16 ; §14, p.18</t>
  </si>
  <si>
    <t xml:space="preserve">9.2 ; 9.3 ; 10.2</t>
  </si>
  <si>
    <t xml:space="preserve">A.5.35 ; A.5.36</t>
  </si>
  <si>
    <t xml:space="preserve">Programme d'audit interne, comptes rendus de revue de direction, registre des non-conformités</t>
  </si>
  <si>
    <t xml:space="preserve">PIL-02</t>
  </si>
  <si>
    <t xml:space="preserve">Aucune méthodologie formalisée d'appréciation des risques ni registre de risques consolidé n'est mentionné ; la Direction demande de démontrer que les risques sont maîtrisés.</t>
  </si>
  <si>
    <t xml:space="preserve">§13, p.17 ; §12, p.16</t>
  </si>
  <si>
    <t xml:space="preserve">6.1.2 ; 6.1.3</t>
  </si>
  <si>
    <t xml:space="preserve">Méthode et registre de risques existants, critères d'acceptation</t>
  </si>
  <si>
    <t xml:space="preserve">Synthèse des écarts</t>
  </si>
  <si>
    <t xml:space="preserve">Tous les chiffres se recalculent à partir de l'onglet Écarts (lignes 5 à 200).</t>
  </si>
  <si>
    <t xml:space="preserve">1. Par domaine</t>
  </si>
  <si>
    <t xml:space="preserve">Nombre d'écarts</t>
  </si>
  <si>
    <t xml:space="preserve">dont criticité Haute</t>
  </si>
  <si>
    <t xml:space="preserve">dont liés à l'incident</t>
  </si>
  <si>
    <t xml:space="preserve">Total</t>
  </si>
  <si>
    <t xml:space="preserve">Contrôle : nombre de lignes dans Écarts</t>
  </si>
  <si>
    <t xml:space="preserve">2. Par criticité proposée</t>
  </si>
  <si>
    <t xml:space="preserve">Criticité</t>
  </si>
  <si>
    <t xml:space="preserve">Nombre</t>
  </si>
  <si>
    <t xml:space="preserve">Part du total</t>
  </si>
  <si>
    <t xml:space="preserve">3. Par nature du constat</t>
  </si>
  <si>
    <t xml:space="preserve">4. Par statut</t>
  </si>
  <si>
    <t xml:space="preserve">Confirmé</t>
  </si>
  <si>
    <t xml:space="preserve">Écarté</t>
  </si>
  <si>
    <t xml:space="preserve">Incident du 3 septembre 2026 — chronologie reliée aux écarts</t>
  </si>
  <si>
    <t xml:space="preserve">Source : §13, p.17 et Figure 4 du cas (heures lues sur la figure : à revérifier). Les IDs renvoient à l'onglet Écarts.</t>
  </si>
  <si>
    <t xml:space="preserve">Heure</t>
  </si>
  <si>
    <t xml:space="preserve">Événement</t>
  </si>
  <si>
    <t xml:space="preserve">Écarts révélés (IDs)</t>
  </si>
  <si>
    <t xml:space="preserve">Ce que cela montre</t>
  </si>
  <si>
    <t xml:space="preserve">18:42</t>
  </si>
  <si>
    <t xml:space="preserve">Phishing imitant une notification Microsoft 365 ; l'ingénieur DevOps saisit son mot de passe</t>
  </si>
  <si>
    <t xml:space="preserve">Sensibilisation insuffisante pour les rôles techniques malgré les simulations de phishing</t>
  </si>
  <si>
    <t xml:space="preserve">18:50</t>
  </si>
  <si>
    <t xml:space="preserve">Multiples demandes MFA sur le téléphone de l'ingénieur</t>
  </si>
  <si>
    <t xml:space="preserve">IAM-06 ; IAM-05</t>
  </si>
  <si>
    <t xml:space="preserve">Le MFA par notification est exposé à la fatigue MFA ; la méthode utilisée n'est pas précisée</t>
  </si>
  <si>
    <t xml:space="preserve">18:54</t>
  </si>
  <si>
    <t xml:space="preserve">Une demande MFA est approuvée</t>
  </si>
  <si>
    <t xml:space="preserve">IAM-06 ; HUM-01</t>
  </si>
  <si>
    <t xml:space="preserve">L'utilisateur a pris les demandes pour une opération de maintenance</t>
  </si>
  <si>
    <t xml:space="preserve">19:06</t>
  </si>
  <si>
    <t xml:space="preserve">Accès au portail Azure avec un rôle privilégié hérité d'un ancien projet</t>
  </si>
  <si>
    <t xml:space="preserve">IAM-01 ; IAM-02 ; IAM-03 ; IAM-04</t>
  </si>
  <si>
    <t xml:space="preserve">Mobilité sans retrait des droits, revue d'accès incomplète, privilèges excessifs, PAM seulement en pilote</t>
  </si>
  <si>
    <t xml:space="preserve">19:28</t>
  </si>
  <si>
    <t xml:space="preserve">Alerte tardive dans le SIEM</t>
  </si>
  <si>
    <t xml:space="preserve">SOC-01 ; SOC-02 ; IAM-08</t>
  </si>
  <si>
    <t xml:space="preserve">Sources d'identité et d'administration Azure non corrélées de façon homogène</t>
  </si>
  <si>
    <t xml:space="preserve">19:36</t>
  </si>
  <si>
    <t xml:space="preserve">Le MSSP escalade l'incident en P1</t>
  </si>
  <si>
    <t xml:space="preserve">SOC-03 ; SOC-04</t>
  </si>
  <si>
    <t xml:space="preserve">Dépendance au processus d'escalade du MSSP ; annexe contractuelle sur les sources de logs non révisée</t>
  </si>
  <si>
    <t xml:space="preserve">20:05</t>
  </si>
  <si>
    <t xml:space="preserve">Compte bloqué et jetons de session révoqués</t>
  </si>
  <si>
    <t xml:space="preserve">Environ 1 h après l'accès Azure (19:06)</t>
  </si>
  <si>
    <t xml:space="preserve">22:30</t>
  </si>
  <si>
    <t xml:space="preserve">Confinement confirmé ; secrets potentiellement exposés renouvelés</t>
  </si>
  <si>
    <t xml:space="preserve">Les secrets statiques ont dû être renouvelés ; pas de preuve d'exfiltration massive d'après les journaux disponibles</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</si>
</sst>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6"/>
      <color rgb="FF0B2A4A"/>
      <name val="Arial"/>
      <family val="0"/>
      <charset val="1"/>
    </font>
    <font>
      <i val="true"/>
      <sz val="10"/>
      <color rgb="FF555555"/>
      <name val="Arial"/>
      <family val="0"/>
      <charset val="1"/>
    </font>
    <font>
      <b val="true"/>
      <sz val="10"/>
      <color rgb="FF0B2A4A"/>
      <name val="Arial"/>
      <family val="0"/>
      <charset val="1"/>
    </font>
    <font>
      <sz val="10"/>
      <color rgb="FF000000"/>
      <name val="Arial"/>
      <family val="0"/>
      <charset val="1"/>
    </font>
    <font>
      <b val="true"/>
      <sz val="10"/>
      <color rgb="FF000000"/>
      <name val="Arial"/>
      <family val="0"/>
      <charset val="1"/>
    </font>
    <font>
      <b val="true"/>
      <sz val="14"/>
      <color rgb="FF0B2A4A"/>
      <name val="Arial"/>
      <family val="0"/>
      <charset val="1"/>
    </font>
    <font>
      <i val="true"/>
      <sz val="9"/>
      <color rgb="FF555555"/>
      <name val="Arial"/>
      <family val="0"/>
      <charset val="1"/>
    </font>
    <font>
      <b val="true"/>
      <sz val="10"/>
      <color rgb="FFFFFFFF"/>
      <name val="Arial"/>
      <family val="0"/>
      <charset val="1"/>
    </font>
    <font>
      <b val="true"/>
      <sz val="11"/>
      <color rgb="FF0B2A4A"/>
      <name val="Arial"/>
      <family val="0"/>
      <charset val="1"/>
    </font>
  </fonts>
  <fills count="6">
    <fill>
      <patternFill patternType="none"/>
    </fill>
    <fill>
      <patternFill patternType="gray125"/>
    </fill>
    <fill>
      <patternFill patternType="solid">
        <fgColor rgb="FFF2C94C"/>
        <bgColor rgb="FFFF9900"/>
      </patternFill>
    </fill>
    <fill>
      <patternFill patternType="solid">
        <fgColor rgb="FFFFF9C4"/>
        <bgColor rgb="FFFFF3CD"/>
      </patternFill>
    </fill>
    <fill>
      <patternFill patternType="solid">
        <fgColor rgb="FFF8D7DA"/>
        <bgColor rgb="FFFFF3CD"/>
      </patternFill>
    </fill>
    <fill>
      <patternFill patternType="solid">
        <fgColor rgb="FF0B2A4A"/>
        <bgColor rgb="FF333333"/>
      </patternFill>
    </fill>
  </fills>
  <borders count="2">
    <border diagonalUp="false" diagonalDown="false">
      <left/>
      <right/>
      <top/>
      <bottom/>
      <diagonal/>
    </border>
    <border diagonalUp="false" diagonalDown="false">
      <left style="thin">
        <color rgb="FFBFC5CC"/>
      </left>
      <right style="thin">
        <color rgb="FFBFC5CC"/>
      </right>
      <top style="thin">
        <color rgb="FFBFC5CC"/>
      </top>
      <bottom style="thin">
        <color rgb="FFBFC5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4EDDA"/>
          <bgColor rgb="FF000000"/>
        </patternFill>
      </fill>
    </dxf>
    <dxf>
      <fill>
        <patternFill patternType="solid">
          <fgColor rgb="FFF2C94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FF9C4"/>
          <bgColor rgb="FF000000"/>
        </patternFill>
      </fill>
    </dxf>
    <dxf>
      <fill>
        <patternFill>
          <bgColor rgb="FFF8D7DA"/>
        </patternFill>
      </fill>
    </dxf>
    <dxf>
      <fill>
        <patternFill>
          <bgColor rgb="FFFFF3CD"/>
        </patternFill>
      </fill>
    </dxf>
    <dxf>
      <fill>
        <patternFill>
          <bgColor rgb="FFD4ED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5CC"/>
      <rgbColor rgb="FF808080"/>
      <rgbColor rgb="FF9999FF"/>
      <rgbColor rgb="FF993366"/>
      <rgbColor rgb="FFFFF9C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DDA"/>
      <rgbColor rgb="FFFFF3CD"/>
      <rgbColor rgb="FF99CCFF"/>
      <rgbColor rgb="FFFF99CC"/>
      <rgbColor rgb="FFCC99FF"/>
      <rgbColor rgb="FFF8D7DA"/>
      <rgbColor rgb="FF3366FF"/>
      <rgbColor rgb="FF33CCCC"/>
      <rgbColor rgb="FF99CC00"/>
      <rgbColor rgb="FFF2C94C"/>
      <rgbColor rgb="FFFF9900"/>
      <rgbColor rgb="FFFF6600"/>
      <rgbColor rgb="FF555555"/>
      <rgbColor rgb="FF969696"/>
      <rgbColor rgb="FF0B2A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23.85" hidden="false" customHeight="false" outlineLevel="0" collapsed="false">
      <c r="A5" s="3" t="s">
        <v>4</v>
      </c>
      <c r="B5" s="4" t="s">
        <v>5</v>
      </c>
    </row>
    <row r="6" customFormat="false" ht="35.05" hidden="false" customHeight="false" outlineLevel="0" collapsed="false">
      <c r="A6" s="3" t="s">
        <v>6</v>
      </c>
      <c r="B6" s="4" t="s">
        <v>7</v>
      </c>
    </row>
    <row r="7" customFormat="false" ht="15" hidden="false" customHeight="false" outlineLevel="0" collapsed="false">
      <c r="A7" s="3" t="s">
        <v>8</v>
      </c>
      <c r="B7" s="4" t="s">
        <v>9</v>
      </c>
    </row>
    <row r="8" customFormat="false" ht="23.85" hidden="false" customHeight="false" outlineLevel="0" collapsed="false">
      <c r="A8" s="3" t="s">
        <v>10</v>
      </c>
      <c r="B8" s="4" t="s">
        <v>11</v>
      </c>
    </row>
    <row r="9" customFormat="false" ht="79.85" hidden="false" customHeight="false" outlineLevel="0" collapsed="false">
      <c r="A9" s="3" t="s">
        <v>12</v>
      </c>
      <c r="B9" s="4" t="s">
        <v>13</v>
      </c>
    </row>
    <row r="10" customFormat="false" ht="23.85" hidden="false" customHeight="false" outlineLevel="0" collapsed="false">
      <c r="A10" s="3" t="s">
        <v>14</v>
      </c>
      <c r="B10" s="4" t="s">
        <v>15</v>
      </c>
    </row>
    <row r="12" customFormat="false" ht="15" hidden="false" customHeight="false" outlineLevel="0" collapsed="false">
      <c r="A12" s="5" t="s">
        <v>16</v>
      </c>
    </row>
    <row r="13" customFormat="false" ht="15" hidden="false" customHeight="false" outlineLevel="0" collapsed="false">
      <c r="A13" s="6" t="s">
        <v>17</v>
      </c>
      <c r="B13" s="7" t="s">
        <v>18</v>
      </c>
    </row>
    <row r="14" customFormat="false" ht="15" hidden="false" customHeight="false" outlineLevel="0" collapsed="false">
      <c r="A14" s="8" t="s">
        <v>19</v>
      </c>
      <c r="B14" s="7" t="s">
        <v>20</v>
      </c>
    </row>
    <row r="15" customFormat="false" ht="15" hidden="false" customHeight="false" outlineLevel="0" collapsed="false">
      <c r="A15" s="9" t="s">
        <v>21</v>
      </c>
      <c r="B15" s="7"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62"/>
    <col collapsed="false" customWidth="true" hidden="false" outlineLevel="0" max="4" min="4" style="0" width="18"/>
    <col collapsed="false" customWidth="true" hidden="false" outlineLevel="0" max="5" min="5" style="0" width="13"/>
    <col collapsed="false" customWidth="true" hidden="false" outlineLevel="0" max="6" min="6" style="0" width="18"/>
    <col collapsed="false" customWidth="true" hidden="false" outlineLevel="0" max="7" min="7" style="0" width="22"/>
    <col collapsed="false" customWidth="true" hidden="false" outlineLevel="0" max="8" min="8" style="0" width="13"/>
    <col collapsed="false" customWidth="true" hidden="false" outlineLevel="0" max="9" min="9" style="0" width="12"/>
    <col collapsed="false" customWidth="true" hidden="false" outlineLevel="0" max="10" min="10" style="0" width="42"/>
    <col collapsed="false" customWidth="true" hidden="false" outlineLevel="0" max="11" min="11" style="0" width="14"/>
    <col collapsed="false" customWidth="true" hidden="false" outlineLevel="0" max="12" min="12" style="0" width="13"/>
    <col collapsed="false" customWidth="true" hidden="false" outlineLevel="0" max="13" min="13" style="0" width="30"/>
  </cols>
  <sheetData>
    <row r="1" customFormat="false" ht="17.35" hidden="false" customHeight="false" outlineLevel="0" collapsed="false">
      <c r="A1" s="10" t="s">
        <v>23</v>
      </c>
    </row>
    <row r="2" customFormat="false" ht="15" hidden="false" customHeight="false" outlineLevel="0" collapsed="false">
      <c r="A2" s="11" t="s">
        <v>24</v>
      </c>
    </row>
    <row r="4" customFormat="false" ht="42" hidden="false" customHeight="true" outlineLevel="0" collapsed="false">
      <c r="A4" s="12" t="s">
        <v>25</v>
      </c>
      <c r="B4" s="12" t="s">
        <v>26</v>
      </c>
      <c r="C4" s="12" t="s">
        <v>27</v>
      </c>
      <c r="D4" s="12" t="s">
        <v>28</v>
      </c>
      <c r="E4" s="12" t="s">
        <v>29</v>
      </c>
      <c r="F4" s="12" t="s">
        <v>30</v>
      </c>
      <c r="G4" s="12" t="s">
        <v>31</v>
      </c>
      <c r="H4" s="12" t="s">
        <v>32</v>
      </c>
      <c r="I4" s="13" t="s">
        <v>33</v>
      </c>
      <c r="J4" s="12" t="s">
        <v>34</v>
      </c>
      <c r="K4" s="13" t="s">
        <v>35</v>
      </c>
      <c r="L4" s="13" t="s">
        <v>36</v>
      </c>
      <c r="M4" s="13" t="s">
        <v>37</v>
      </c>
    </row>
    <row r="5" customFormat="false" ht="35.05" hidden="false" customHeight="false" outlineLevel="0" collapsed="false">
      <c r="A5" s="14" t="s">
        <v>38</v>
      </c>
      <c r="B5" s="15" t="s">
        <v>39</v>
      </c>
      <c r="C5" s="15" t="s">
        <v>40</v>
      </c>
      <c r="D5" s="15" t="s">
        <v>41</v>
      </c>
      <c r="E5" s="16" t="s">
        <v>42</v>
      </c>
      <c r="F5" s="15" t="s">
        <v>43</v>
      </c>
      <c r="G5" s="15" t="s">
        <v>44</v>
      </c>
      <c r="H5" s="16" t="s">
        <v>45</v>
      </c>
      <c r="I5" s="16" t="s">
        <v>46</v>
      </c>
      <c r="J5" s="15" t="s">
        <v>47</v>
      </c>
      <c r="K5" s="17"/>
      <c r="L5" s="17" t="s">
        <v>48</v>
      </c>
      <c r="M5" s="18"/>
    </row>
    <row r="6" customFormat="false" ht="23.85" hidden="false" customHeight="false" outlineLevel="0" collapsed="false">
      <c r="A6" s="14" t="s">
        <v>49</v>
      </c>
      <c r="B6" s="15" t="s">
        <v>39</v>
      </c>
      <c r="C6" s="15" t="s">
        <v>50</v>
      </c>
      <c r="D6" s="15" t="s">
        <v>41</v>
      </c>
      <c r="E6" s="16" t="s">
        <v>42</v>
      </c>
      <c r="F6" s="15" t="s">
        <v>51</v>
      </c>
      <c r="G6" s="15" t="s">
        <v>52</v>
      </c>
      <c r="H6" s="16" t="s">
        <v>45</v>
      </c>
      <c r="I6" s="16" t="s">
        <v>53</v>
      </c>
      <c r="J6" s="15" t="s">
        <v>54</v>
      </c>
      <c r="K6" s="17"/>
      <c r="L6" s="17" t="s">
        <v>48</v>
      </c>
      <c r="M6" s="18"/>
    </row>
    <row r="7" customFormat="false" ht="35.05" hidden="false" customHeight="false" outlineLevel="0" collapsed="false">
      <c r="A7" s="14" t="s">
        <v>55</v>
      </c>
      <c r="B7" s="15" t="s">
        <v>39</v>
      </c>
      <c r="C7" s="15" t="s">
        <v>56</v>
      </c>
      <c r="D7" s="15" t="s">
        <v>41</v>
      </c>
      <c r="E7" s="16" t="s">
        <v>57</v>
      </c>
      <c r="F7" s="15" t="s">
        <v>58</v>
      </c>
      <c r="G7" s="15" t="s">
        <v>59</v>
      </c>
      <c r="H7" s="16" t="s">
        <v>45</v>
      </c>
      <c r="I7" s="16" t="s">
        <v>53</v>
      </c>
      <c r="J7" s="15" t="s">
        <v>60</v>
      </c>
      <c r="K7" s="17"/>
      <c r="L7" s="17" t="s">
        <v>48</v>
      </c>
      <c r="M7" s="18"/>
    </row>
    <row r="8" customFormat="false" ht="23.85" hidden="false" customHeight="false" outlineLevel="0" collapsed="false">
      <c r="A8" s="14" t="s">
        <v>61</v>
      </c>
      <c r="B8" s="15" t="s">
        <v>39</v>
      </c>
      <c r="C8" s="15" t="s">
        <v>62</v>
      </c>
      <c r="D8" s="15" t="s">
        <v>63</v>
      </c>
      <c r="E8" s="16" t="s">
        <v>42</v>
      </c>
      <c r="F8" s="15" t="s">
        <v>64</v>
      </c>
      <c r="G8" s="15" t="s">
        <v>65</v>
      </c>
      <c r="H8" s="16" t="s">
        <v>45</v>
      </c>
      <c r="I8" s="16" t="s">
        <v>53</v>
      </c>
      <c r="J8" s="15" t="s">
        <v>66</v>
      </c>
      <c r="K8" s="17"/>
      <c r="L8" s="17" t="s">
        <v>48</v>
      </c>
      <c r="M8" s="18"/>
    </row>
    <row r="9" customFormat="false" ht="23.85" hidden="false" customHeight="false" outlineLevel="0" collapsed="false">
      <c r="A9" s="14" t="s">
        <v>67</v>
      </c>
      <c r="B9" s="15" t="s">
        <v>39</v>
      </c>
      <c r="C9" s="15" t="s">
        <v>68</v>
      </c>
      <c r="D9" s="15" t="s">
        <v>63</v>
      </c>
      <c r="E9" s="16" t="s">
        <v>42</v>
      </c>
      <c r="F9" s="15" t="s">
        <v>69</v>
      </c>
      <c r="G9" s="15" t="s">
        <v>70</v>
      </c>
      <c r="H9" s="16" t="s">
        <v>45</v>
      </c>
      <c r="I9" s="16" t="s">
        <v>53</v>
      </c>
      <c r="J9" s="15" t="s">
        <v>71</v>
      </c>
      <c r="K9" s="17"/>
      <c r="L9" s="17" t="s">
        <v>48</v>
      </c>
      <c r="M9" s="18"/>
    </row>
    <row r="10" customFormat="false" ht="35.05" hidden="false" customHeight="false" outlineLevel="0" collapsed="false">
      <c r="A10" s="14" t="s">
        <v>72</v>
      </c>
      <c r="B10" s="15" t="s">
        <v>39</v>
      </c>
      <c r="C10" s="15" t="s">
        <v>73</v>
      </c>
      <c r="D10" s="15" t="s">
        <v>63</v>
      </c>
      <c r="E10" s="16" t="s">
        <v>57</v>
      </c>
      <c r="F10" s="15" t="s">
        <v>74</v>
      </c>
      <c r="G10" s="15" t="s">
        <v>75</v>
      </c>
      <c r="H10" s="16" t="s">
        <v>45</v>
      </c>
      <c r="I10" s="16" t="s">
        <v>76</v>
      </c>
      <c r="J10" s="15" t="s">
        <v>77</v>
      </c>
      <c r="K10" s="17"/>
      <c r="L10" s="17" t="s">
        <v>48</v>
      </c>
      <c r="M10" s="18"/>
    </row>
    <row r="11" customFormat="false" ht="23.85" hidden="false" customHeight="false" outlineLevel="0" collapsed="false">
      <c r="A11" s="14" t="s">
        <v>78</v>
      </c>
      <c r="B11" s="15" t="s">
        <v>79</v>
      </c>
      <c r="C11" s="15" t="s">
        <v>80</v>
      </c>
      <c r="D11" s="15" t="s">
        <v>63</v>
      </c>
      <c r="E11" s="16" t="s">
        <v>42</v>
      </c>
      <c r="F11" s="15" t="s">
        <v>81</v>
      </c>
      <c r="G11" s="15" t="s">
        <v>82</v>
      </c>
      <c r="H11" s="16" t="s">
        <v>45</v>
      </c>
      <c r="I11" s="16" t="s">
        <v>46</v>
      </c>
      <c r="J11" s="15" t="s">
        <v>83</v>
      </c>
      <c r="K11" s="17"/>
      <c r="L11" s="17" t="s">
        <v>48</v>
      </c>
      <c r="M11" s="18"/>
    </row>
    <row r="12" customFormat="false" ht="35.05" hidden="false" customHeight="false" outlineLevel="0" collapsed="false">
      <c r="A12" s="14" t="s">
        <v>84</v>
      </c>
      <c r="B12" s="15" t="s">
        <v>79</v>
      </c>
      <c r="C12" s="15" t="s">
        <v>85</v>
      </c>
      <c r="D12" s="15" t="s">
        <v>86</v>
      </c>
      <c r="E12" s="16" t="s">
        <v>42</v>
      </c>
      <c r="F12" s="15" t="s">
        <v>87</v>
      </c>
      <c r="G12" s="15" t="s">
        <v>88</v>
      </c>
      <c r="H12" s="16" t="s">
        <v>45</v>
      </c>
      <c r="I12" s="16" t="s">
        <v>53</v>
      </c>
      <c r="J12" s="15" t="s">
        <v>89</v>
      </c>
      <c r="K12" s="17"/>
      <c r="L12" s="17" t="s">
        <v>48</v>
      </c>
      <c r="M12" s="18"/>
    </row>
    <row r="13" customFormat="false" ht="23.85" hidden="false" customHeight="false" outlineLevel="0" collapsed="false">
      <c r="A13" s="14" t="s">
        <v>90</v>
      </c>
      <c r="B13" s="15" t="s">
        <v>91</v>
      </c>
      <c r="C13" s="15" t="s">
        <v>92</v>
      </c>
      <c r="D13" s="15" t="s">
        <v>93</v>
      </c>
      <c r="E13" s="16" t="s">
        <v>42</v>
      </c>
      <c r="F13" s="15" t="s">
        <v>94</v>
      </c>
      <c r="G13" s="15" t="s">
        <v>95</v>
      </c>
      <c r="H13" s="16" t="s">
        <v>96</v>
      </c>
      <c r="I13" s="16" t="s">
        <v>46</v>
      </c>
      <c r="J13" s="15" t="s">
        <v>97</v>
      </c>
      <c r="K13" s="17"/>
      <c r="L13" s="17" t="s">
        <v>48</v>
      </c>
      <c r="M13" s="18"/>
    </row>
    <row r="14" customFormat="false" ht="35.05" hidden="false" customHeight="false" outlineLevel="0" collapsed="false">
      <c r="A14" s="14" t="s">
        <v>98</v>
      </c>
      <c r="B14" s="15" t="s">
        <v>91</v>
      </c>
      <c r="C14" s="15" t="s">
        <v>99</v>
      </c>
      <c r="D14" s="15" t="s">
        <v>100</v>
      </c>
      <c r="E14" s="16" t="s">
        <v>42</v>
      </c>
      <c r="F14" s="15" t="s">
        <v>101</v>
      </c>
      <c r="G14" s="15" t="s">
        <v>102</v>
      </c>
      <c r="H14" s="16" t="s">
        <v>96</v>
      </c>
      <c r="I14" s="16" t="s">
        <v>46</v>
      </c>
      <c r="J14" s="15" t="s">
        <v>103</v>
      </c>
      <c r="K14" s="17"/>
      <c r="L14" s="17" t="s">
        <v>48</v>
      </c>
      <c r="M14" s="18"/>
    </row>
    <row r="15" customFormat="false" ht="35.05" hidden="false" customHeight="false" outlineLevel="0" collapsed="false">
      <c r="A15" s="14" t="s">
        <v>104</v>
      </c>
      <c r="B15" s="15" t="s">
        <v>91</v>
      </c>
      <c r="C15" s="15" t="s">
        <v>105</v>
      </c>
      <c r="D15" s="15" t="s">
        <v>106</v>
      </c>
      <c r="E15" s="16" t="s">
        <v>42</v>
      </c>
      <c r="F15" s="15" t="s">
        <v>94</v>
      </c>
      <c r="G15" s="15" t="s">
        <v>107</v>
      </c>
      <c r="H15" s="16" t="s">
        <v>96</v>
      </c>
      <c r="I15" s="16" t="s">
        <v>46</v>
      </c>
      <c r="J15" s="15" t="s">
        <v>108</v>
      </c>
      <c r="K15" s="17"/>
      <c r="L15" s="17" t="s">
        <v>48</v>
      </c>
      <c r="M15" s="18"/>
    </row>
    <row r="16" customFormat="false" ht="23.85" hidden="false" customHeight="false" outlineLevel="0" collapsed="false">
      <c r="A16" s="14" t="s">
        <v>109</v>
      </c>
      <c r="B16" s="15" t="s">
        <v>91</v>
      </c>
      <c r="C16" s="15" t="s">
        <v>110</v>
      </c>
      <c r="D16" s="15" t="s">
        <v>93</v>
      </c>
      <c r="E16" s="16" t="s">
        <v>42</v>
      </c>
      <c r="F16" s="15" t="s">
        <v>94</v>
      </c>
      <c r="G16" s="15" t="s">
        <v>111</v>
      </c>
      <c r="H16" s="16" t="s">
        <v>96</v>
      </c>
      <c r="I16" s="16" t="s">
        <v>46</v>
      </c>
      <c r="J16" s="15" t="s">
        <v>112</v>
      </c>
      <c r="K16" s="17"/>
      <c r="L16" s="17" t="s">
        <v>48</v>
      </c>
      <c r="M16" s="18"/>
    </row>
    <row r="17" customFormat="false" ht="23.85" hidden="false" customHeight="false" outlineLevel="0" collapsed="false">
      <c r="A17" s="14" t="s">
        <v>113</v>
      </c>
      <c r="B17" s="15" t="s">
        <v>91</v>
      </c>
      <c r="C17" s="15" t="s">
        <v>114</v>
      </c>
      <c r="D17" s="15" t="s">
        <v>93</v>
      </c>
      <c r="E17" s="16" t="s">
        <v>42</v>
      </c>
      <c r="F17" s="15" t="s">
        <v>94</v>
      </c>
      <c r="G17" s="15" t="s">
        <v>115</v>
      </c>
      <c r="H17" s="16" t="s">
        <v>45</v>
      </c>
      <c r="I17" s="16" t="s">
        <v>53</v>
      </c>
      <c r="J17" s="15" t="s">
        <v>116</v>
      </c>
      <c r="K17" s="17"/>
      <c r="L17" s="17" t="s">
        <v>48</v>
      </c>
      <c r="M17" s="18"/>
    </row>
    <row r="18" customFormat="false" ht="46.25" hidden="false" customHeight="false" outlineLevel="0" collapsed="false">
      <c r="A18" s="14" t="s">
        <v>117</v>
      </c>
      <c r="B18" s="15" t="s">
        <v>91</v>
      </c>
      <c r="C18" s="15" t="s">
        <v>118</v>
      </c>
      <c r="D18" s="15" t="s">
        <v>119</v>
      </c>
      <c r="E18" s="16" t="s">
        <v>57</v>
      </c>
      <c r="F18" s="15" t="s">
        <v>120</v>
      </c>
      <c r="G18" s="15" t="s">
        <v>121</v>
      </c>
      <c r="H18" s="16" t="s">
        <v>96</v>
      </c>
      <c r="I18" s="16" t="s">
        <v>46</v>
      </c>
      <c r="J18" s="15" t="s">
        <v>122</v>
      </c>
      <c r="K18" s="17"/>
      <c r="L18" s="17" t="s">
        <v>48</v>
      </c>
      <c r="M18" s="18"/>
    </row>
    <row r="19" customFormat="false" ht="35.05" hidden="false" customHeight="false" outlineLevel="0" collapsed="false">
      <c r="A19" s="14" t="s">
        <v>123</v>
      </c>
      <c r="B19" s="15" t="s">
        <v>91</v>
      </c>
      <c r="C19" s="15" t="s">
        <v>124</v>
      </c>
      <c r="D19" s="15" t="s">
        <v>100</v>
      </c>
      <c r="E19" s="16" t="s">
        <v>42</v>
      </c>
      <c r="F19" s="15" t="s">
        <v>94</v>
      </c>
      <c r="G19" s="15" t="s">
        <v>125</v>
      </c>
      <c r="H19" s="16" t="s">
        <v>96</v>
      </c>
      <c r="I19" s="16" t="s">
        <v>53</v>
      </c>
      <c r="J19" s="15" t="s">
        <v>126</v>
      </c>
      <c r="K19" s="17"/>
      <c r="L19" s="17" t="s">
        <v>48</v>
      </c>
      <c r="M19" s="18"/>
    </row>
    <row r="20" customFormat="false" ht="23.85" hidden="false" customHeight="false" outlineLevel="0" collapsed="false">
      <c r="A20" s="14" t="s">
        <v>127</v>
      </c>
      <c r="B20" s="15" t="s">
        <v>91</v>
      </c>
      <c r="C20" s="15" t="s">
        <v>128</v>
      </c>
      <c r="D20" s="15" t="s">
        <v>129</v>
      </c>
      <c r="E20" s="16" t="s">
        <v>42</v>
      </c>
      <c r="F20" s="15" t="s">
        <v>94</v>
      </c>
      <c r="G20" s="15" t="s">
        <v>130</v>
      </c>
      <c r="H20" s="16" t="s">
        <v>96</v>
      </c>
      <c r="I20" s="16" t="s">
        <v>53</v>
      </c>
      <c r="J20" s="15" t="s">
        <v>131</v>
      </c>
      <c r="K20" s="17"/>
      <c r="L20" s="17" t="s">
        <v>48</v>
      </c>
      <c r="M20" s="18"/>
    </row>
    <row r="21" customFormat="false" ht="35.05" hidden="false" customHeight="false" outlineLevel="0" collapsed="false">
      <c r="A21" s="14" t="s">
        <v>132</v>
      </c>
      <c r="B21" s="15" t="s">
        <v>91</v>
      </c>
      <c r="C21" s="15" t="s">
        <v>133</v>
      </c>
      <c r="D21" s="15" t="s">
        <v>134</v>
      </c>
      <c r="E21" s="16" t="s">
        <v>42</v>
      </c>
      <c r="F21" s="15" t="s">
        <v>135</v>
      </c>
      <c r="G21" s="15" t="s">
        <v>95</v>
      </c>
      <c r="H21" s="16" t="s">
        <v>45</v>
      </c>
      <c r="I21" s="16" t="s">
        <v>53</v>
      </c>
      <c r="J21" s="15" t="s">
        <v>136</v>
      </c>
      <c r="K21" s="17"/>
      <c r="L21" s="17" t="s">
        <v>48</v>
      </c>
      <c r="M21" s="18"/>
    </row>
    <row r="22" customFormat="false" ht="35.05" hidden="false" customHeight="false" outlineLevel="0" collapsed="false">
      <c r="A22" s="14" t="s">
        <v>137</v>
      </c>
      <c r="B22" s="15" t="s">
        <v>138</v>
      </c>
      <c r="C22" s="15" t="s">
        <v>139</v>
      </c>
      <c r="D22" s="15" t="s">
        <v>140</v>
      </c>
      <c r="E22" s="16" t="s">
        <v>42</v>
      </c>
      <c r="F22" s="15" t="s">
        <v>94</v>
      </c>
      <c r="G22" s="15" t="s">
        <v>141</v>
      </c>
      <c r="H22" s="16" t="s">
        <v>45</v>
      </c>
      <c r="I22" s="16" t="s">
        <v>53</v>
      </c>
      <c r="J22" s="15" t="s">
        <v>142</v>
      </c>
      <c r="K22" s="17"/>
      <c r="L22" s="17" t="s">
        <v>48</v>
      </c>
      <c r="M22" s="18"/>
    </row>
    <row r="23" customFormat="false" ht="35.05" hidden="false" customHeight="false" outlineLevel="0" collapsed="false">
      <c r="A23" s="14" t="s">
        <v>143</v>
      </c>
      <c r="B23" s="15" t="s">
        <v>138</v>
      </c>
      <c r="C23" s="15" t="s">
        <v>144</v>
      </c>
      <c r="D23" s="15" t="s">
        <v>63</v>
      </c>
      <c r="E23" s="16" t="s">
        <v>42</v>
      </c>
      <c r="F23" s="15" t="s">
        <v>145</v>
      </c>
      <c r="G23" s="15" t="s">
        <v>146</v>
      </c>
      <c r="H23" s="16" t="s">
        <v>45</v>
      </c>
      <c r="I23" s="16" t="s">
        <v>53</v>
      </c>
      <c r="J23" s="15" t="s">
        <v>147</v>
      </c>
      <c r="K23" s="17"/>
      <c r="L23" s="17" t="s">
        <v>48</v>
      </c>
      <c r="M23" s="18"/>
    </row>
    <row r="24" customFormat="false" ht="46.25" hidden="false" customHeight="false" outlineLevel="0" collapsed="false">
      <c r="A24" s="14" t="s">
        <v>148</v>
      </c>
      <c r="B24" s="15" t="s">
        <v>138</v>
      </c>
      <c r="C24" s="15" t="s">
        <v>149</v>
      </c>
      <c r="D24" s="15" t="s">
        <v>150</v>
      </c>
      <c r="E24" s="16" t="s">
        <v>42</v>
      </c>
      <c r="F24" s="15" t="s">
        <v>94</v>
      </c>
      <c r="G24" s="15" t="s">
        <v>151</v>
      </c>
      <c r="H24" s="16" t="s">
        <v>45</v>
      </c>
      <c r="I24" s="16" t="s">
        <v>53</v>
      </c>
      <c r="J24" s="15" t="s">
        <v>152</v>
      </c>
      <c r="K24" s="17"/>
      <c r="L24" s="17" t="s">
        <v>48</v>
      </c>
      <c r="M24" s="18"/>
    </row>
    <row r="25" customFormat="false" ht="35.05" hidden="false" customHeight="false" outlineLevel="0" collapsed="false">
      <c r="A25" s="14" t="s">
        <v>153</v>
      </c>
      <c r="B25" s="15" t="s">
        <v>138</v>
      </c>
      <c r="C25" s="15" t="s">
        <v>154</v>
      </c>
      <c r="D25" s="15" t="s">
        <v>155</v>
      </c>
      <c r="E25" s="16" t="s">
        <v>42</v>
      </c>
      <c r="F25" s="15" t="s">
        <v>94</v>
      </c>
      <c r="G25" s="15" t="s">
        <v>156</v>
      </c>
      <c r="H25" s="16" t="s">
        <v>45</v>
      </c>
      <c r="I25" s="16" t="s">
        <v>53</v>
      </c>
      <c r="J25" s="15" t="s">
        <v>157</v>
      </c>
      <c r="K25" s="17"/>
      <c r="L25" s="17" t="s">
        <v>48</v>
      </c>
      <c r="M25" s="18"/>
    </row>
    <row r="26" customFormat="false" ht="35.05" hidden="false" customHeight="false" outlineLevel="0" collapsed="false">
      <c r="A26" s="14" t="s">
        <v>158</v>
      </c>
      <c r="B26" s="15" t="s">
        <v>159</v>
      </c>
      <c r="C26" s="15" t="s">
        <v>160</v>
      </c>
      <c r="D26" s="15" t="s">
        <v>155</v>
      </c>
      <c r="E26" s="16" t="s">
        <v>42</v>
      </c>
      <c r="F26" s="15" t="s">
        <v>94</v>
      </c>
      <c r="G26" s="15" t="s">
        <v>161</v>
      </c>
      <c r="H26" s="16" t="s">
        <v>45</v>
      </c>
      <c r="I26" s="16" t="s">
        <v>53</v>
      </c>
      <c r="J26" s="15" t="s">
        <v>162</v>
      </c>
      <c r="K26" s="17"/>
      <c r="L26" s="17" t="s">
        <v>48</v>
      </c>
      <c r="M26" s="18"/>
    </row>
    <row r="27" customFormat="false" ht="23.85" hidden="false" customHeight="false" outlineLevel="0" collapsed="false">
      <c r="A27" s="14" t="s">
        <v>163</v>
      </c>
      <c r="B27" s="15" t="s">
        <v>159</v>
      </c>
      <c r="C27" s="15" t="s">
        <v>164</v>
      </c>
      <c r="D27" s="15" t="s">
        <v>155</v>
      </c>
      <c r="E27" s="16" t="s">
        <v>42</v>
      </c>
      <c r="F27" s="15" t="s">
        <v>94</v>
      </c>
      <c r="G27" s="15" t="s">
        <v>165</v>
      </c>
      <c r="H27" s="16" t="s">
        <v>45</v>
      </c>
      <c r="I27" s="16" t="s">
        <v>76</v>
      </c>
      <c r="J27" s="15" t="s">
        <v>166</v>
      </c>
      <c r="K27" s="17"/>
      <c r="L27" s="17" t="s">
        <v>48</v>
      </c>
      <c r="M27" s="18"/>
    </row>
    <row r="28" customFormat="false" ht="23.85" hidden="false" customHeight="false" outlineLevel="0" collapsed="false">
      <c r="A28" s="14" t="s">
        <v>167</v>
      </c>
      <c r="B28" s="15" t="s">
        <v>159</v>
      </c>
      <c r="C28" s="15" t="s">
        <v>168</v>
      </c>
      <c r="D28" s="15" t="s">
        <v>155</v>
      </c>
      <c r="E28" s="16" t="s">
        <v>42</v>
      </c>
      <c r="F28" s="15" t="s">
        <v>94</v>
      </c>
      <c r="G28" s="15" t="s">
        <v>169</v>
      </c>
      <c r="H28" s="16" t="s">
        <v>45</v>
      </c>
      <c r="I28" s="16" t="s">
        <v>53</v>
      </c>
      <c r="J28" s="15" t="s">
        <v>170</v>
      </c>
      <c r="K28" s="17"/>
      <c r="L28" s="17" t="s">
        <v>48</v>
      </c>
      <c r="M28" s="18"/>
    </row>
    <row r="29" customFormat="false" ht="23.85" hidden="false" customHeight="false" outlineLevel="0" collapsed="false">
      <c r="A29" s="14" t="s">
        <v>171</v>
      </c>
      <c r="B29" s="15" t="s">
        <v>159</v>
      </c>
      <c r="C29" s="15" t="s">
        <v>172</v>
      </c>
      <c r="D29" s="15" t="s">
        <v>155</v>
      </c>
      <c r="E29" s="16" t="s">
        <v>42</v>
      </c>
      <c r="F29" s="15" t="s">
        <v>94</v>
      </c>
      <c r="G29" s="15" t="s">
        <v>173</v>
      </c>
      <c r="H29" s="16" t="s">
        <v>45</v>
      </c>
      <c r="I29" s="16" t="s">
        <v>53</v>
      </c>
      <c r="J29" s="15" t="s">
        <v>174</v>
      </c>
      <c r="K29" s="17"/>
      <c r="L29" s="17" t="s">
        <v>48</v>
      </c>
      <c r="M29" s="18"/>
    </row>
    <row r="30" customFormat="false" ht="35.05" hidden="false" customHeight="false" outlineLevel="0" collapsed="false">
      <c r="A30" s="14" t="s">
        <v>175</v>
      </c>
      <c r="B30" s="15" t="s">
        <v>176</v>
      </c>
      <c r="C30" s="15" t="s">
        <v>177</v>
      </c>
      <c r="D30" s="15" t="s">
        <v>178</v>
      </c>
      <c r="E30" s="16" t="s">
        <v>42</v>
      </c>
      <c r="F30" s="15" t="s">
        <v>101</v>
      </c>
      <c r="G30" s="15" t="s">
        <v>130</v>
      </c>
      <c r="H30" s="16" t="s">
        <v>96</v>
      </c>
      <c r="I30" s="16" t="s">
        <v>46</v>
      </c>
      <c r="J30" s="15" t="s">
        <v>179</v>
      </c>
      <c r="K30" s="17"/>
      <c r="L30" s="17" t="s">
        <v>48</v>
      </c>
      <c r="M30" s="18"/>
    </row>
    <row r="31" customFormat="false" ht="23.85" hidden="false" customHeight="false" outlineLevel="0" collapsed="false">
      <c r="A31" s="14" t="s">
        <v>180</v>
      </c>
      <c r="B31" s="15" t="s">
        <v>176</v>
      </c>
      <c r="C31" s="15" t="s">
        <v>181</v>
      </c>
      <c r="D31" s="15" t="s">
        <v>63</v>
      </c>
      <c r="E31" s="16" t="s">
        <v>42</v>
      </c>
      <c r="F31" s="15" t="s">
        <v>135</v>
      </c>
      <c r="G31" s="15" t="s">
        <v>182</v>
      </c>
      <c r="H31" s="16" t="s">
        <v>96</v>
      </c>
      <c r="I31" s="16" t="s">
        <v>46</v>
      </c>
      <c r="J31" s="15" t="s">
        <v>183</v>
      </c>
      <c r="K31" s="17"/>
      <c r="L31" s="17" t="s">
        <v>48</v>
      </c>
      <c r="M31" s="18"/>
    </row>
    <row r="32" customFormat="false" ht="35.05" hidden="false" customHeight="false" outlineLevel="0" collapsed="false">
      <c r="A32" s="14" t="s">
        <v>184</v>
      </c>
      <c r="B32" s="15" t="s">
        <v>176</v>
      </c>
      <c r="C32" s="15" t="s">
        <v>185</v>
      </c>
      <c r="D32" s="15" t="s">
        <v>186</v>
      </c>
      <c r="E32" s="16" t="s">
        <v>57</v>
      </c>
      <c r="F32" s="15" t="s">
        <v>101</v>
      </c>
      <c r="G32" s="15" t="s">
        <v>187</v>
      </c>
      <c r="H32" s="16" t="s">
        <v>96</v>
      </c>
      <c r="I32" s="16" t="s">
        <v>46</v>
      </c>
      <c r="J32" s="15" t="s">
        <v>188</v>
      </c>
      <c r="K32" s="17"/>
      <c r="L32" s="17" t="s">
        <v>48</v>
      </c>
      <c r="M32" s="18"/>
    </row>
    <row r="33" customFormat="false" ht="35.05" hidden="false" customHeight="false" outlineLevel="0" collapsed="false">
      <c r="A33" s="14" t="s">
        <v>189</v>
      </c>
      <c r="B33" s="15" t="s">
        <v>176</v>
      </c>
      <c r="C33" s="15" t="s">
        <v>190</v>
      </c>
      <c r="D33" s="15" t="s">
        <v>178</v>
      </c>
      <c r="E33" s="16" t="s">
        <v>42</v>
      </c>
      <c r="F33" s="15" t="s">
        <v>94</v>
      </c>
      <c r="G33" s="15" t="s">
        <v>191</v>
      </c>
      <c r="H33" s="16" t="s">
        <v>96</v>
      </c>
      <c r="I33" s="16" t="s">
        <v>46</v>
      </c>
      <c r="J33" s="15" t="s">
        <v>192</v>
      </c>
      <c r="K33" s="17"/>
      <c r="L33" s="17" t="s">
        <v>48</v>
      </c>
      <c r="M33" s="18"/>
    </row>
    <row r="34" customFormat="false" ht="23.85" hidden="false" customHeight="false" outlineLevel="0" collapsed="false">
      <c r="A34" s="14" t="s">
        <v>193</v>
      </c>
      <c r="B34" s="15" t="s">
        <v>176</v>
      </c>
      <c r="C34" s="15" t="s">
        <v>194</v>
      </c>
      <c r="D34" s="15" t="s">
        <v>178</v>
      </c>
      <c r="E34" s="16" t="s">
        <v>42</v>
      </c>
      <c r="F34" s="15" t="s">
        <v>195</v>
      </c>
      <c r="G34" s="15" t="s">
        <v>196</v>
      </c>
      <c r="H34" s="16" t="s">
        <v>45</v>
      </c>
      <c r="I34" s="16" t="s">
        <v>53</v>
      </c>
      <c r="J34" s="15" t="s">
        <v>197</v>
      </c>
      <c r="K34" s="17"/>
      <c r="L34" s="17" t="s">
        <v>48</v>
      </c>
      <c r="M34" s="18"/>
    </row>
    <row r="35" customFormat="false" ht="23.85" hidden="false" customHeight="false" outlineLevel="0" collapsed="false">
      <c r="A35" s="14" t="s">
        <v>198</v>
      </c>
      <c r="B35" s="15" t="s">
        <v>199</v>
      </c>
      <c r="C35" s="15" t="s">
        <v>200</v>
      </c>
      <c r="D35" s="15" t="s">
        <v>201</v>
      </c>
      <c r="E35" s="16" t="s">
        <v>42</v>
      </c>
      <c r="F35" s="15" t="s">
        <v>120</v>
      </c>
      <c r="G35" s="15" t="s">
        <v>202</v>
      </c>
      <c r="H35" s="16" t="s">
        <v>45</v>
      </c>
      <c r="I35" s="16" t="s">
        <v>46</v>
      </c>
      <c r="J35" s="15" t="s">
        <v>203</v>
      </c>
      <c r="K35" s="17"/>
      <c r="L35" s="17" t="s">
        <v>48</v>
      </c>
      <c r="M35" s="18"/>
    </row>
    <row r="36" customFormat="false" ht="23.85" hidden="false" customHeight="false" outlineLevel="0" collapsed="false">
      <c r="A36" s="14" t="s">
        <v>204</v>
      </c>
      <c r="B36" s="15" t="s">
        <v>199</v>
      </c>
      <c r="C36" s="15" t="s">
        <v>205</v>
      </c>
      <c r="D36" s="15" t="s">
        <v>201</v>
      </c>
      <c r="E36" s="16" t="s">
        <v>42</v>
      </c>
      <c r="F36" s="15" t="s">
        <v>120</v>
      </c>
      <c r="G36" s="15" t="s">
        <v>206</v>
      </c>
      <c r="H36" s="16" t="s">
        <v>45</v>
      </c>
      <c r="I36" s="16" t="s">
        <v>53</v>
      </c>
      <c r="J36" s="15" t="s">
        <v>207</v>
      </c>
      <c r="K36" s="17"/>
      <c r="L36" s="17" t="s">
        <v>48</v>
      </c>
      <c r="M36" s="18"/>
    </row>
    <row r="37" customFormat="false" ht="23.85" hidden="false" customHeight="false" outlineLevel="0" collapsed="false">
      <c r="A37" s="14" t="s">
        <v>208</v>
      </c>
      <c r="B37" s="15" t="s">
        <v>199</v>
      </c>
      <c r="C37" s="15" t="s">
        <v>209</v>
      </c>
      <c r="D37" s="15" t="s">
        <v>210</v>
      </c>
      <c r="E37" s="16" t="s">
        <v>42</v>
      </c>
      <c r="F37" s="15" t="s">
        <v>211</v>
      </c>
      <c r="G37" s="15" t="s">
        <v>212</v>
      </c>
      <c r="H37" s="16" t="s">
        <v>45</v>
      </c>
      <c r="I37" s="16" t="s">
        <v>53</v>
      </c>
      <c r="J37" s="15" t="s">
        <v>213</v>
      </c>
      <c r="K37" s="17"/>
      <c r="L37" s="17" t="s">
        <v>48</v>
      </c>
      <c r="M37" s="18"/>
    </row>
    <row r="38" customFormat="false" ht="35.05" hidden="false" customHeight="false" outlineLevel="0" collapsed="false">
      <c r="A38" s="14" t="s">
        <v>214</v>
      </c>
      <c r="B38" s="15" t="s">
        <v>199</v>
      </c>
      <c r="C38" s="15" t="s">
        <v>215</v>
      </c>
      <c r="D38" s="15" t="s">
        <v>216</v>
      </c>
      <c r="E38" s="16" t="s">
        <v>42</v>
      </c>
      <c r="F38" s="15" t="s">
        <v>101</v>
      </c>
      <c r="G38" s="15" t="s">
        <v>217</v>
      </c>
      <c r="H38" s="16" t="s">
        <v>45</v>
      </c>
      <c r="I38" s="16" t="s">
        <v>53</v>
      </c>
      <c r="J38" s="15" t="s">
        <v>218</v>
      </c>
      <c r="K38" s="17"/>
      <c r="L38" s="17" t="s">
        <v>48</v>
      </c>
      <c r="M38" s="18"/>
    </row>
    <row r="39" customFormat="false" ht="23.85" hidden="false" customHeight="false" outlineLevel="0" collapsed="false">
      <c r="A39" s="14" t="s">
        <v>219</v>
      </c>
      <c r="B39" s="15" t="s">
        <v>199</v>
      </c>
      <c r="C39" s="15" t="s">
        <v>220</v>
      </c>
      <c r="D39" s="15" t="s">
        <v>201</v>
      </c>
      <c r="E39" s="16" t="s">
        <v>221</v>
      </c>
      <c r="F39" s="15" t="s">
        <v>87</v>
      </c>
      <c r="G39" s="15" t="s">
        <v>206</v>
      </c>
      <c r="H39" s="16" t="s">
        <v>45</v>
      </c>
      <c r="I39" s="16" t="s">
        <v>76</v>
      </c>
      <c r="J39" s="15" t="s">
        <v>222</v>
      </c>
      <c r="K39" s="17"/>
      <c r="L39" s="17" t="s">
        <v>48</v>
      </c>
      <c r="M39" s="18"/>
    </row>
    <row r="40" customFormat="false" ht="23.85" hidden="false" customHeight="false" outlineLevel="0" collapsed="false">
      <c r="A40" s="14" t="s">
        <v>223</v>
      </c>
      <c r="B40" s="15" t="s">
        <v>224</v>
      </c>
      <c r="C40" s="15" t="s">
        <v>225</v>
      </c>
      <c r="D40" s="15" t="s">
        <v>226</v>
      </c>
      <c r="E40" s="16" t="s">
        <v>42</v>
      </c>
      <c r="F40" s="15" t="s">
        <v>94</v>
      </c>
      <c r="G40" s="15" t="s">
        <v>227</v>
      </c>
      <c r="H40" s="16" t="s">
        <v>45</v>
      </c>
      <c r="I40" s="16" t="s">
        <v>53</v>
      </c>
      <c r="J40" s="15" t="s">
        <v>228</v>
      </c>
      <c r="K40" s="17"/>
      <c r="L40" s="17" t="s">
        <v>48</v>
      </c>
      <c r="M40" s="18"/>
    </row>
    <row r="41" customFormat="false" ht="35.05" hidden="false" customHeight="false" outlineLevel="0" collapsed="false">
      <c r="A41" s="14" t="s">
        <v>229</v>
      </c>
      <c r="B41" s="15" t="s">
        <v>224</v>
      </c>
      <c r="C41" s="15" t="s">
        <v>230</v>
      </c>
      <c r="D41" s="15" t="s">
        <v>226</v>
      </c>
      <c r="E41" s="16" t="s">
        <v>42</v>
      </c>
      <c r="F41" s="15" t="s">
        <v>94</v>
      </c>
      <c r="G41" s="15" t="s">
        <v>231</v>
      </c>
      <c r="H41" s="16" t="s">
        <v>45</v>
      </c>
      <c r="I41" s="16" t="s">
        <v>46</v>
      </c>
      <c r="J41" s="15" t="s">
        <v>232</v>
      </c>
      <c r="K41" s="17"/>
      <c r="L41" s="17" t="s">
        <v>48</v>
      </c>
      <c r="M41" s="18"/>
    </row>
    <row r="42" customFormat="false" ht="23.85" hidden="false" customHeight="false" outlineLevel="0" collapsed="false">
      <c r="A42" s="14" t="s">
        <v>233</v>
      </c>
      <c r="B42" s="15" t="s">
        <v>224</v>
      </c>
      <c r="C42" s="15" t="s">
        <v>234</v>
      </c>
      <c r="D42" s="15" t="s">
        <v>226</v>
      </c>
      <c r="E42" s="16" t="s">
        <v>57</v>
      </c>
      <c r="F42" s="15" t="s">
        <v>94</v>
      </c>
      <c r="G42" s="15" t="s">
        <v>235</v>
      </c>
      <c r="H42" s="16" t="s">
        <v>45</v>
      </c>
      <c r="I42" s="16" t="s">
        <v>53</v>
      </c>
      <c r="J42" s="15" t="s">
        <v>236</v>
      </c>
      <c r="K42" s="17"/>
      <c r="L42" s="17" t="s">
        <v>48</v>
      </c>
      <c r="M42" s="18"/>
    </row>
    <row r="43" customFormat="false" ht="35.05" hidden="false" customHeight="false" outlineLevel="0" collapsed="false">
      <c r="A43" s="14" t="s">
        <v>237</v>
      </c>
      <c r="B43" s="15" t="s">
        <v>224</v>
      </c>
      <c r="C43" s="15" t="s">
        <v>238</v>
      </c>
      <c r="D43" s="15" t="s">
        <v>239</v>
      </c>
      <c r="E43" s="16" t="s">
        <v>57</v>
      </c>
      <c r="F43" s="15" t="s">
        <v>120</v>
      </c>
      <c r="G43" s="15" t="s">
        <v>240</v>
      </c>
      <c r="H43" s="16" t="s">
        <v>45</v>
      </c>
      <c r="I43" s="16" t="s">
        <v>53</v>
      </c>
      <c r="J43" s="15" t="s">
        <v>241</v>
      </c>
      <c r="K43" s="17"/>
      <c r="L43" s="17" t="s">
        <v>48</v>
      </c>
      <c r="M43" s="18"/>
    </row>
    <row r="44" customFormat="false" ht="35.05" hidden="false" customHeight="false" outlineLevel="0" collapsed="false">
      <c r="A44" s="14" t="s">
        <v>242</v>
      </c>
      <c r="B44" s="15" t="s">
        <v>243</v>
      </c>
      <c r="C44" s="15" t="s">
        <v>244</v>
      </c>
      <c r="D44" s="15" t="s">
        <v>245</v>
      </c>
      <c r="E44" s="16" t="s">
        <v>57</v>
      </c>
      <c r="F44" s="15" t="s">
        <v>246</v>
      </c>
      <c r="G44" s="15" t="s">
        <v>247</v>
      </c>
      <c r="H44" s="16" t="s">
        <v>45</v>
      </c>
      <c r="I44" s="16" t="s">
        <v>46</v>
      </c>
      <c r="J44" s="15" t="s">
        <v>248</v>
      </c>
      <c r="K44" s="17"/>
      <c r="L44" s="17" t="s">
        <v>48</v>
      </c>
      <c r="M44" s="18"/>
    </row>
    <row r="45" customFormat="false" ht="35.05" hidden="false" customHeight="false" outlineLevel="0" collapsed="false">
      <c r="A45" s="14" t="s">
        <v>249</v>
      </c>
      <c r="B45" s="15" t="s">
        <v>243</v>
      </c>
      <c r="C45" s="15" t="s">
        <v>250</v>
      </c>
      <c r="D45" s="15" t="s">
        <v>245</v>
      </c>
      <c r="E45" s="16" t="s">
        <v>221</v>
      </c>
      <c r="F45" s="15" t="s">
        <v>251</v>
      </c>
      <c r="G45" s="15" t="s">
        <v>252</v>
      </c>
      <c r="H45" s="16" t="s">
        <v>45</v>
      </c>
      <c r="I45" s="16" t="s">
        <v>53</v>
      </c>
      <c r="J45" s="15" t="s">
        <v>253</v>
      </c>
      <c r="K45" s="17"/>
      <c r="L45" s="17" t="s">
        <v>48</v>
      </c>
      <c r="M45" s="18"/>
    </row>
    <row r="46" customFormat="false" ht="23.85" hidden="false" customHeight="false" outlineLevel="0" collapsed="false">
      <c r="A46" s="14" t="s">
        <v>254</v>
      </c>
      <c r="B46" s="15" t="s">
        <v>243</v>
      </c>
      <c r="C46" s="15" t="s">
        <v>255</v>
      </c>
      <c r="D46" s="15" t="s">
        <v>256</v>
      </c>
      <c r="E46" s="16" t="s">
        <v>221</v>
      </c>
      <c r="F46" s="15" t="s">
        <v>251</v>
      </c>
      <c r="G46" s="15" t="s">
        <v>247</v>
      </c>
      <c r="H46" s="16" t="s">
        <v>45</v>
      </c>
      <c r="I46" s="16" t="s">
        <v>53</v>
      </c>
      <c r="J46" s="15" t="s">
        <v>257</v>
      </c>
      <c r="K46" s="17"/>
      <c r="L46" s="17" t="s">
        <v>48</v>
      </c>
      <c r="M46" s="18"/>
    </row>
    <row r="47" customFormat="false" ht="46.25" hidden="false" customHeight="false" outlineLevel="0" collapsed="false">
      <c r="A47" s="14" t="s">
        <v>258</v>
      </c>
      <c r="B47" s="15" t="s">
        <v>259</v>
      </c>
      <c r="C47" s="15" t="s">
        <v>260</v>
      </c>
      <c r="D47" s="15" t="s">
        <v>261</v>
      </c>
      <c r="E47" s="16" t="s">
        <v>42</v>
      </c>
      <c r="F47" s="15" t="s">
        <v>262</v>
      </c>
      <c r="G47" s="15" t="s">
        <v>263</v>
      </c>
      <c r="H47" s="16" t="s">
        <v>96</v>
      </c>
      <c r="I47" s="16" t="s">
        <v>46</v>
      </c>
      <c r="J47" s="15" t="s">
        <v>264</v>
      </c>
      <c r="K47" s="17"/>
      <c r="L47" s="17" t="s">
        <v>48</v>
      </c>
      <c r="M47" s="18"/>
    </row>
    <row r="48" customFormat="false" ht="35.05" hidden="false" customHeight="false" outlineLevel="0" collapsed="false">
      <c r="A48" s="14" t="s">
        <v>265</v>
      </c>
      <c r="B48" s="15" t="s">
        <v>266</v>
      </c>
      <c r="C48" s="15" t="s">
        <v>267</v>
      </c>
      <c r="D48" s="15" t="s">
        <v>268</v>
      </c>
      <c r="E48" s="16" t="s">
        <v>57</v>
      </c>
      <c r="F48" s="15" t="s">
        <v>269</v>
      </c>
      <c r="G48" s="15" t="s">
        <v>270</v>
      </c>
      <c r="H48" s="16" t="s">
        <v>45</v>
      </c>
      <c r="I48" s="16" t="s">
        <v>53</v>
      </c>
      <c r="J48" s="15" t="s">
        <v>271</v>
      </c>
      <c r="K48" s="17"/>
      <c r="L48" s="17" t="s">
        <v>48</v>
      </c>
      <c r="M48" s="18"/>
    </row>
    <row r="49" customFormat="false" ht="35.05" hidden="false" customHeight="false" outlineLevel="0" collapsed="false">
      <c r="A49" s="14" t="s">
        <v>272</v>
      </c>
      <c r="B49" s="15" t="s">
        <v>266</v>
      </c>
      <c r="C49" s="15" t="s">
        <v>273</v>
      </c>
      <c r="D49" s="15" t="s">
        <v>274</v>
      </c>
      <c r="E49" s="16" t="s">
        <v>57</v>
      </c>
      <c r="F49" s="15" t="s">
        <v>275</v>
      </c>
      <c r="G49" s="15" t="s">
        <v>70</v>
      </c>
      <c r="H49" s="16" t="s">
        <v>45</v>
      </c>
      <c r="I49" s="16" t="s">
        <v>46</v>
      </c>
      <c r="J49" s="15" t="s">
        <v>276</v>
      </c>
      <c r="K49" s="17"/>
      <c r="L49" s="17" t="s">
        <v>48</v>
      </c>
      <c r="M49" s="18"/>
    </row>
  </sheetData>
  <autoFilter ref="A4:M49"/>
  <conditionalFormatting sqref="I5:I200">
    <cfRule type="cellIs" priority="2" operator="equal" aboveAverage="0" equalAverage="0" bottom="0" percent="0" rank="0" text="" dxfId="9">
      <formula>"Haute"</formula>
    </cfRule>
    <cfRule type="cellIs" priority="3" operator="equal" aboveAverage="0" equalAverage="0" bottom="0" percent="0" rank="0" text="" dxfId="10">
      <formula>"Moyenne"</formula>
    </cfRule>
    <cfRule type="cellIs" priority="4" operator="equal" aboveAverage="0" equalAverage="0" bottom="0" percent="0" rank="0" text="" dxfId="11">
      <formula>"Faible"</formula>
    </cfRule>
  </conditionalFormatting>
  <dataValidations count="4">
    <dataValidation allowBlank="true" errorStyle="stop" operator="between" showDropDown="false" showErrorMessage="false" showInputMessage="false" sqref="I5:I200" type="list">
      <formula1>"Haute,Moyenne,Faible"</formula1>
      <formula2>0</formula2>
    </dataValidation>
    <dataValidation allowBlank="true" errorStyle="stop" operator="between" showDropDown="false" showErrorMessage="false" showInputMessage="false" sqref="E5:E200" type="list">
      <formula1>"Fait du cas,Déduit,À clarifier"</formula1>
      <formula2>0</formula2>
    </dataValidation>
    <dataValidation allowBlank="true" errorStyle="stop" operator="between" showDropDown="false" showErrorMessage="false" showInputMessage="false" sqref="H5:H200" type="list">
      <formula1>"Oui,Non"</formula1>
      <formula2>0</formula2>
    </dataValidation>
    <dataValidation allowBlank="true" errorStyle="stop" operator="between" showDropDown="false" showErrorMessage="false" showInputMessage="false" sqref="L5:L200" type="list">
      <formula1>"À analyser,Confirmé,Écarté"</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22"/>
    <col collapsed="false" customWidth="true" hidden="false" outlineLevel="0" max="4" min="4" style="0" width="24"/>
  </cols>
  <sheetData>
    <row r="1" customFormat="false" ht="17.35" hidden="false" customHeight="false" outlineLevel="0" collapsed="false">
      <c r="A1" s="10" t="s">
        <v>277</v>
      </c>
    </row>
    <row r="2" customFormat="false" ht="15" hidden="false" customHeight="false" outlineLevel="0" collapsed="false">
      <c r="A2" s="11" t="s">
        <v>278</v>
      </c>
    </row>
    <row r="4" customFormat="false" ht="15" hidden="false" customHeight="false" outlineLevel="0" collapsed="false">
      <c r="A4" s="19" t="s">
        <v>279</v>
      </c>
    </row>
    <row r="5" customFormat="false" ht="15" hidden="false" customHeight="false" outlineLevel="0" collapsed="false">
      <c r="A5" s="12" t="s">
        <v>26</v>
      </c>
      <c r="B5" s="12" t="s">
        <v>280</v>
      </c>
      <c r="C5" s="12" t="s">
        <v>281</v>
      </c>
      <c r="D5" s="12" t="s">
        <v>282</v>
      </c>
    </row>
    <row r="6" customFormat="false" ht="15" hidden="false" customHeight="false" outlineLevel="0" collapsed="false">
      <c r="A6" s="20" t="s">
        <v>39</v>
      </c>
      <c r="B6" s="21" t="n">
        <f aca="false">COUNTIF(Écarts!$B$5:$B$200,A6)</f>
        <v>6</v>
      </c>
      <c r="C6" s="21" t="n">
        <f aca="false">COUNTIFS(Écarts!$B$5:$B$200,A6,Écarts!$I$5:$I$200,"Haute")</f>
        <v>1</v>
      </c>
      <c r="D6" s="21" t="n">
        <f aca="false">COUNTIFS(Écarts!$B$5:$B$200,A6,Écarts!$H$5:$H$200,"Oui")</f>
        <v>0</v>
      </c>
    </row>
    <row r="7" customFormat="false" ht="15" hidden="false" customHeight="false" outlineLevel="0" collapsed="false">
      <c r="A7" s="20" t="s">
        <v>79</v>
      </c>
      <c r="B7" s="21" t="n">
        <f aca="false">COUNTIF(Écarts!$B$5:$B$200,A7)</f>
        <v>2</v>
      </c>
      <c r="C7" s="21" t="n">
        <f aca="false">COUNTIFS(Écarts!$B$5:$B$200,A7,Écarts!$I$5:$I$200,"Haute")</f>
        <v>1</v>
      </c>
      <c r="D7" s="21" t="n">
        <f aca="false">COUNTIFS(Écarts!$B$5:$B$200,A7,Écarts!$H$5:$H$200,"Oui")</f>
        <v>0</v>
      </c>
    </row>
    <row r="8" customFormat="false" ht="15" hidden="false" customHeight="false" outlineLevel="0" collapsed="false">
      <c r="A8" s="20" t="s">
        <v>91</v>
      </c>
      <c r="B8" s="21" t="n">
        <f aca="false">COUNTIF(Écarts!$B$5:$B$200,A8)</f>
        <v>9</v>
      </c>
      <c r="C8" s="21" t="n">
        <f aca="false">COUNTIFS(Écarts!$B$5:$B$200,A8,Écarts!$I$5:$I$200,"Haute")</f>
        <v>5</v>
      </c>
      <c r="D8" s="21" t="n">
        <f aca="false">COUNTIFS(Écarts!$B$5:$B$200,A8,Écarts!$H$5:$H$200,"Oui")</f>
        <v>7</v>
      </c>
    </row>
    <row r="9" customFormat="false" ht="15" hidden="false" customHeight="false" outlineLevel="0" collapsed="false">
      <c r="A9" s="20" t="s">
        <v>138</v>
      </c>
      <c r="B9" s="21" t="n">
        <f aca="false">COUNTIF(Écarts!$B$5:$B$200,A9)</f>
        <v>4</v>
      </c>
      <c r="C9" s="21" t="n">
        <f aca="false">COUNTIFS(Écarts!$B$5:$B$200,A9,Écarts!$I$5:$I$200,"Haute")</f>
        <v>0</v>
      </c>
      <c r="D9" s="21" t="n">
        <f aca="false">COUNTIFS(Écarts!$B$5:$B$200,A9,Écarts!$H$5:$H$200,"Oui")</f>
        <v>0</v>
      </c>
    </row>
    <row r="10" customFormat="false" ht="15" hidden="false" customHeight="false" outlineLevel="0" collapsed="false">
      <c r="A10" s="20" t="s">
        <v>159</v>
      </c>
      <c r="B10" s="21" t="n">
        <f aca="false">COUNTIF(Écarts!$B$5:$B$200,A10)</f>
        <v>4</v>
      </c>
      <c r="C10" s="21" t="n">
        <f aca="false">COUNTIFS(Écarts!$B$5:$B$200,A10,Écarts!$I$5:$I$200,"Haute")</f>
        <v>0</v>
      </c>
      <c r="D10" s="21" t="n">
        <f aca="false">COUNTIFS(Écarts!$B$5:$B$200,A10,Écarts!$H$5:$H$200,"Oui")</f>
        <v>0</v>
      </c>
    </row>
    <row r="11" customFormat="false" ht="15" hidden="false" customHeight="false" outlineLevel="0" collapsed="false">
      <c r="A11" s="20" t="s">
        <v>176</v>
      </c>
      <c r="B11" s="21" t="n">
        <f aca="false">COUNTIF(Écarts!$B$5:$B$200,A11)</f>
        <v>5</v>
      </c>
      <c r="C11" s="21" t="n">
        <f aca="false">COUNTIFS(Écarts!$B$5:$B$200,A11,Écarts!$I$5:$I$200,"Haute")</f>
        <v>4</v>
      </c>
      <c r="D11" s="21" t="n">
        <f aca="false">COUNTIFS(Écarts!$B$5:$B$200,A11,Écarts!$H$5:$H$200,"Oui")</f>
        <v>4</v>
      </c>
    </row>
    <row r="12" customFormat="false" ht="15" hidden="false" customHeight="false" outlineLevel="0" collapsed="false">
      <c r="A12" s="20" t="s">
        <v>199</v>
      </c>
      <c r="B12" s="21" t="n">
        <f aca="false">COUNTIF(Écarts!$B$5:$B$200,A12)</f>
        <v>5</v>
      </c>
      <c r="C12" s="21" t="n">
        <f aca="false">COUNTIFS(Écarts!$B$5:$B$200,A12,Écarts!$I$5:$I$200,"Haute")</f>
        <v>1</v>
      </c>
      <c r="D12" s="21" t="n">
        <f aca="false">COUNTIFS(Écarts!$B$5:$B$200,A12,Écarts!$H$5:$H$200,"Oui")</f>
        <v>0</v>
      </c>
    </row>
    <row r="13" customFormat="false" ht="15" hidden="false" customHeight="false" outlineLevel="0" collapsed="false">
      <c r="A13" s="20" t="s">
        <v>224</v>
      </c>
      <c r="B13" s="21" t="n">
        <f aca="false">COUNTIF(Écarts!$B$5:$B$200,A13)</f>
        <v>4</v>
      </c>
      <c r="C13" s="21" t="n">
        <f aca="false">COUNTIFS(Écarts!$B$5:$B$200,A13,Écarts!$I$5:$I$200,"Haute")</f>
        <v>1</v>
      </c>
      <c r="D13" s="21" t="n">
        <f aca="false">COUNTIFS(Écarts!$B$5:$B$200,A13,Écarts!$H$5:$H$200,"Oui")</f>
        <v>0</v>
      </c>
    </row>
    <row r="14" customFormat="false" ht="15" hidden="false" customHeight="false" outlineLevel="0" collapsed="false">
      <c r="A14" s="20" t="s">
        <v>243</v>
      </c>
      <c r="B14" s="21" t="n">
        <f aca="false">COUNTIF(Écarts!$B$5:$B$200,A14)</f>
        <v>3</v>
      </c>
      <c r="C14" s="21" t="n">
        <f aca="false">COUNTIFS(Écarts!$B$5:$B$200,A14,Écarts!$I$5:$I$200,"Haute")</f>
        <v>1</v>
      </c>
      <c r="D14" s="21" t="n">
        <f aca="false">COUNTIFS(Écarts!$B$5:$B$200,A14,Écarts!$H$5:$H$200,"Oui")</f>
        <v>0</v>
      </c>
    </row>
    <row r="15" customFormat="false" ht="15" hidden="false" customHeight="false" outlineLevel="0" collapsed="false">
      <c r="A15" s="20" t="s">
        <v>259</v>
      </c>
      <c r="B15" s="21" t="n">
        <f aca="false">COUNTIF(Écarts!$B$5:$B$200,A15)</f>
        <v>1</v>
      </c>
      <c r="C15" s="21" t="n">
        <f aca="false">COUNTIFS(Écarts!$B$5:$B$200,A15,Écarts!$I$5:$I$200,"Haute")</f>
        <v>1</v>
      </c>
      <c r="D15" s="21" t="n">
        <f aca="false">COUNTIFS(Écarts!$B$5:$B$200,A15,Écarts!$H$5:$H$200,"Oui")</f>
        <v>1</v>
      </c>
    </row>
    <row r="16" customFormat="false" ht="15" hidden="false" customHeight="false" outlineLevel="0" collapsed="false">
      <c r="A16" s="20" t="s">
        <v>266</v>
      </c>
      <c r="B16" s="21" t="n">
        <f aca="false">COUNTIF(Écarts!$B$5:$B$200,A16)</f>
        <v>2</v>
      </c>
      <c r="C16" s="21" t="n">
        <f aca="false">COUNTIFS(Écarts!$B$5:$B$200,A16,Écarts!$I$5:$I$200,"Haute")</f>
        <v>1</v>
      </c>
      <c r="D16" s="21" t="n">
        <f aca="false">COUNTIFS(Écarts!$B$5:$B$200,A16,Écarts!$H$5:$H$200,"Oui")</f>
        <v>0</v>
      </c>
    </row>
    <row r="17" customFormat="false" ht="15" hidden="false" customHeight="false" outlineLevel="0" collapsed="false">
      <c r="A17" s="22" t="s">
        <v>283</v>
      </c>
      <c r="B17" s="23" t="n">
        <f aca="false">SUM(B6:B16)</f>
        <v>45</v>
      </c>
      <c r="C17" s="23" t="n">
        <f aca="false">SUM(C6:C16)</f>
        <v>16</v>
      </c>
      <c r="D17" s="23" t="n">
        <f aca="false">SUM(D6:D16)</f>
        <v>12</v>
      </c>
    </row>
    <row r="18" customFormat="false" ht="15" hidden="false" customHeight="false" outlineLevel="0" collapsed="false">
      <c r="A18" s="20" t="s">
        <v>284</v>
      </c>
      <c r="B18" s="21" t="n">
        <f aca="false">COUNTA(Écarts!$A$5:$A$200)</f>
        <v>45</v>
      </c>
      <c r="C18" s="24" t="str">
        <f aca="false">IF(B17=B18,"OK","Domaine manquant ou mal orthographié")</f>
        <v>OK</v>
      </c>
      <c r="D18" s="24"/>
    </row>
    <row r="21" customFormat="false" ht="15" hidden="false" customHeight="false" outlineLevel="0" collapsed="false">
      <c r="A21" s="19" t="s">
        <v>285</v>
      </c>
    </row>
    <row r="22" customFormat="false" ht="15" hidden="false" customHeight="false" outlineLevel="0" collapsed="false">
      <c r="A22" s="12" t="s">
        <v>286</v>
      </c>
      <c r="B22" s="12" t="s">
        <v>287</v>
      </c>
      <c r="C22" s="12" t="s">
        <v>288</v>
      </c>
    </row>
    <row r="23" customFormat="false" ht="15" hidden="false" customHeight="false" outlineLevel="0" collapsed="false">
      <c r="A23" s="20" t="s">
        <v>46</v>
      </c>
      <c r="B23" s="21" t="n">
        <f aca="false">COUNTIF(Écarts!$I$5:$I$200,A23)</f>
        <v>16</v>
      </c>
      <c r="C23" s="25" t="n">
        <f aca="false">IFERROR(B23/B$26,0)</f>
        <v>0.355555555555556</v>
      </c>
    </row>
    <row r="24" customFormat="false" ht="15" hidden="false" customHeight="false" outlineLevel="0" collapsed="false">
      <c r="A24" s="20" t="s">
        <v>53</v>
      </c>
      <c r="B24" s="21" t="n">
        <f aca="false">COUNTIF(Écarts!$I$5:$I$200,A24)</f>
        <v>26</v>
      </c>
      <c r="C24" s="25" t="n">
        <f aca="false">IFERROR(B24/B$26,0)</f>
        <v>0.577777777777778</v>
      </c>
    </row>
    <row r="25" customFormat="false" ht="15" hidden="false" customHeight="false" outlineLevel="0" collapsed="false">
      <c r="A25" s="20" t="s">
        <v>76</v>
      </c>
      <c r="B25" s="21" t="n">
        <f aca="false">COUNTIF(Écarts!$I$5:$I$200,A25)</f>
        <v>3</v>
      </c>
      <c r="C25" s="25" t="n">
        <f aca="false">IFERROR(B25/B$26,0)</f>
        <v>0.0666666666666667</v>
      </c>
    </row>
    <row r="26" customFormat="false" ht="15" hidden="false" customHeight="false" outlineLevel="0" collapsed="false">
      <c r="A26" s="22" t="s">
        <v>283</v>
      </c>
      <c r="B26" s="23" t="n">
        <f aca="false">SUM(B23:B25)</f>
        <v>45</v>
      </c>
      <c r="C26" s="26" t="n">
        <f aca="false">SUM(C23:C25)</f>
        <v>1</v>
      </c>
    </row>
    <row r="28" customFormat="false" ht="15" hidden="false" customHeight="false" outlineLevel="0" collapsed="false">
      <c r="A28" s="19" t="s">
        <v>289</v>
      </c>
    </row>
    <row r="29" customFormat="false" ht="15" hidden="false" customHeight="false" outlineLevel="0" collapsed="false">
      <c r="A29" s="12" t="s">
        <v>29</v>
      </c>
      <c r="B29" s="12" t="s">
        <v>287</v>
      </c>
      <c r="C29" s="12" t="s">
        <v>288</v>
      </c>
    </row>
    <row r="30" customFormat="false" ht="15" hidden="false" customHeight="false" outlineLevel="0" collapsed="false">
      <c r="A30" s="20" t="s">
        <v>42</v>
      </c>
      <c r="B30" s="21" t="n">
        <f aca="false">COUNTIF(Écarts!$E$5:$E$200,A30)</f>
        <v>33</v>
      </c>
      <c r="C30" s="25" t="n">
        <f aca="false">IFERROR(B30/B$33,0)</f>
        <v>0.733333333333333</v>
      </c>
    </row>
    <row r="31" customFormat="false" ht="15" hidden="false" customHeight="false" outlineLevel="0" collapsed="false">
      <c r="A31" s="20" t="s">
        <v>57</v>
      </c>
      <c r="B31" s="21" t="n">
        <f aca="false">COUNTIF(Écarts!$E$5:$E$200,A31)</f>
        <v>9</v>
      </c>
      <c r="C31" s="25" t="n">
        <f aca="false">IFERROR(B31/B$33,0)</f>
        <v>0.2</v>
      </c>
    </row>
    <row r="32" customFormat="false" ht="15" hidden="false" customHeight="false" outlineLevel="0" collapsed="false">
      <c r="A32" s="20" t="s">
        <v>221</v>
      </c>
      <c r="B32" s="21" t="n">
        <f aca="false">COUNTIF(Écarts!$E$5:$E$200,A32)</f>
        <v>3</v>
      </c>
      <c r="C32" s="25" t="n">
        <f aca="false">IFERROR(B32/B$33,0)</f>
        <v>0.0666666666666667</v>
      </c>
    </row>
    <row r="33" customFormat="false" ht="15" hidden="false" customHeight="false" outlineLevel="0" collapsed="false">
      <c r="A33" s="22" t="s">
        <v>283</v>
      </c>
      <c r="B33" s="23" t="n">
        <f aca="false">SUM(B30:B32)</f>
        <v>45</v>
      </c>
      <c r="C33" s="26" t="n">
        <f aca="false">SUM(C30:C32)</f>
        <v>1</v>
      </c>
    </row>
    <row r="35" customFormat="false" ht="15" hidden="false" customHeight="false" outlineLevel="0" collapsed="false">
      <c r="A35" s="19" t="s">
        <v>290</v>
      </c>
    </row>
    <row r="36" customFormat="false" ht="15" hidden="false" customHeight="false" outlineLevel="0" collapsed="false">
      <c r="A36" s="12" t="s">
        <v>36</v>
      </c>
      <c r="B36" s="12" t="s">
        <v>287</v>
      </c>
      <c r="C36" s="12" t="s">
        <v>288</v>
      </c>
    </row>
    <row r="37" customFormat="false" ht="15" hidden="false" customHeight="false" outlineLevel="0" collapsed="false">
      <c r="A37" s="20" t="s">
        <v>48</v>
      </c>
      <c r="B37" s="21" t="n">
        <f aca="false">COUNTIF(Écarts!$L$5:$L$200,A37)</f>
        <v>45</v>
      </c>
      <c r="C37" s="25" t="n">
        <f aca="false">IFERROR(B37/B$40,0)</f>
        <v>1</v>
      </c>
    </row>
    <row r="38" customFormat="false" ht="15" hidden="false" customHeight="false" outlineLevel="0" collapsed="false">
      <c r="A38" s="20" t="s">
        <v>291</v>
      </c>
      <c r="B38" s="21" t="n">
        <f aca="false">COUNTIF(Écarts!$L$5:$L$200,A38)</f>
        <v>0</v>
      </c>
      <c r="C38" s="25" t="n">
        <f aca="false">IFERROR(B38/B$40,0)</f>
        <v>0</v>
      </c>
    </row>
    <row r="39" customFormat="false" ht="15" hidden="false" customHeight="false" outlineLevel="0" collapsed="false">
      <c r="A39" s="20" t="s">
        <v>292</v>
      </c>
      <c r="B39" s="21" t="n">
        <f aca="false">COUNTIF(Écarts!$L$5:$L$200,A39)</f>
        <v>0</v>
      </c>
      <c r="C39" s="25" t="n">
        <f aca="false">IFERROR(B39/B$40,0)</f>
        <v>0</v>
      </c>
    </row>
    <row r="40" customFormat="false" ht="15" hidden="false" customHeight="false" outlineLevel="0" collapsed="false">
      <c r="A40" s="22" t="s">
        <v>283</v>
      </c>
      <c r="B40" s="23" t="n">
        <f aca="false">SUM(B37:B39)</f>
        <v>45</v>
      </c>
      <c r="C40" s="26" t="n">
        <f aca="false">SUM(C37:C39)</f>
        <v>1</v>
      </c>
    </row>
  </sheetData>
  <mergeCells count="1">
    <mergeCell ref="C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26"/>
    <col collapsed="false" customWidth="true" hidden="false" outlineLevel="0" max="4" min="4" style="0" width="70"/>
  </cols>
  <sheetData>
    <row r="1" customFormat="false" ht="17.35" hidden="false" customHeight="false" outlineLevel="0" collapsed="false">
      <c r="A1" s="10" t="s">
        <v>293</v>
      </c>
    </row>
    <row r="2" customFormat="false" ht="15" hidden="false" customHeight="false" outlineLevel="0" collapsed="false">
      <c r="A2" s="11" t="s">
        <v>294</v>
      </c>
    </row>
    <row r="4" customFormat="false" ht="15" hidden="false" customHeight="false" outlineLevel="0" collapsed="false">
      <c r="A4" s="12" t="s">
        <v>295</v>
      </c>
      <c r="B4" s="12" t="s">
        <v>296</v>
      </c>
      <c r="C4" s="12" t="s">
        <v>297</v>
      </c>
      <c r="D4" s="12" t="s">
        <v>298</v>
      </c>
    </row>
    <row r="5" customFormat="false" ht="23.85" hidden="false" customHeight="false" outlineLevel="0" collapsed="false">
      <c r="A5" s="14" t="s">
        <v>299</v>
      </c>
      <c r="B5" s="15" t="s">
        <v>300</v>
      </c>
      <c r="C5" s="15" t="s">
        <v>258</v>
      </c>
      <c r="D5" s="15" t="s">
        <v>301</v>
      </c>
    </row>
    <row r="6" customFormat="false" ht="23.85" hidden="false" customHeight="false" outlineLevel="0" collapsed="false">
      <c r="A6" s="14" t="s">
        <v>302</v>
      </c>
      <c r="B6" s="15" t="s">
        <v>303</v>
      </c>
      <c r="C6" s="15" t="s">
        <v>304</v>
      </c>
      <c r="D6" s="15" t="s">
        <v>305</v>
      </c>
    </row>
    <row r="7" customFormat="false" ht="15" hidden="false" customHeight="false" outlineLevel="0" collapsed="false">
      <c r="A7" s="14" t="s">
        <v>306</v>
      </c>
      <c r="B7" s="15" t="s">
        <v>307</v>
      </c>
      <c r="C7" s="15" t="s">
        <v>308</v>
      </c>
      <c r="D7" s="15" t="s">
        <v>309</v>
      </c>
    </row>
    <row r="8" customFormat="false" ht="23.85" hidden="false" customHeight="false" outlineLevel="0" collapsed="false">
      <c r="A8" s="14" t="s">
        <v>310</v>
      </c>
      <c r="B8" s="15" t="s">
        <v>311</v>
      </c>
      <c r="C8" s="15" t="s">
        <v>312</v>
      </c>
      <c r="D8" s="15" t="s">
        <v>313</v>
      </c>
    </row>
    <row r="9" customFormat="false" ht="15" hidden="false" customHeight="false" outlineLevel="0" collapsed="false">
      <c r="A9" s="14" t="s">
        <v>314</v>
      </c>
      <c r="B9" s="15" t="s">
        <v>315</v>
      </c>
      <c r="C9" s="15" t="s">
        <v>316</v>
      </c>
      <c r="D9" s="15" t="s">
        <v>317</v>
      </c>
    </row>
    <row r="10" customFormat="false" ht="23.85" hidden="false" customHeight="false" outlineLevel="0" collapsed="false">
      <c r="A10" s="14" t="s">
        <v>318</v>
      </c>
      <c r="B10" s="15" t="s">
        <v>319</v>
      </c>
      <c r="C10" s="15" t="s">
        <v>320</v>
      </c>
      <c r="D10" s="15" t="s">
        <v>321</v>
      </c>
    </row>
    <row r="11" customFormat="false" ht="15" hidden="false" customHeight="false" outlineLevel="0" collapsed="false">
      <c r="A11" s="14" t="s">
        <v>322</v>
      </c>
      <c r="B11" s="15" t="s">
        <v>323</v>
      </c>
      <c r="C11" s="15" t="s">
        <v>184</v>
      </c>
      <c r="D11" s="15" t="s">
        <v>324</v>
      </c>
    </row>
    <row r="12" customFormat="false" ht="23.85" hidden="false" customHeight="false" outlineLevel="0" collapsed="false">
      <c r="A12" s="14" t="s">
        <v>325</v>
      </c>
      <c r="B12" s="15" t="s">
        <v>326</v>
      </c>
      <c r="C12" s="15" t="s">
        <v>123</v>
      </c>
      <c r="D12" s="15"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2026-10-16T20:03:51Z</dcterms:created>
  <dc:creator>openpyxl</dc:creator>
  <dc:description/>
  <dc:language>en-US</dc:language>
  <cp:lastModifiedBy/>
  <dcterms:modified xsi:type="dcterms:W3CDTF">2026-10-16T20:03:51Z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