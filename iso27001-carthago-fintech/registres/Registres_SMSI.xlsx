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Méthode" sheetId="2" state="visible" r:id="rId4"/>
    <sheet name="Risques" sheetId="3" state="visible" r:id="rId5"/>
    <sheet name="Traitement" sheetId="4" state="visible" r:id="rId6"/>
    <sheet name="SoA" sheetId="5" state="visible" r:id="rId7"/>
    <sheet name="Indicateurs" sheetId="6" state="visible" r:id="rId8"/>
  </sheets>
  <definedNames>
    <definedName function="false" hidden="true" localSheetId="2" name="_xlnm._FilterDatabase" vbProcedure="false">Risques!$A$4:$U$60</definedName>
    <definedName function="false" hidden="true" localSheetId="4" name="_xlnm._FilterDatabase" vbProcedure="false">SoA!$A$6:$J$99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<sst xmlns="http://schemas.openxmlformats.org/spreadsheetml/2006/main" count="1556" uniqueCount="868">
  <si>
    <t xml:space="preserve">Carthago FinTech — Registres du SMSI</t>
  </si>
  <si>
    <t xml:space="preserve">Méthode, registre des risques, plan de traitement, déclaration d'applicabilité (SoA), indicateurs — étude de cas pédagogique, organisation fictive</t>
  </si>
  <si>
    <t xml:space="preserve">Ordre de travail</t>
  </si>
  <si>
    <t xml:space="preserve">1) Méthode : validez les échelles et les seuils. 2) Risques : relisez la cotation proposée et sa justification, ajustez-la si besoin, ajoutez ou fusionnez des risques. 3) Traitement : relisez les actions proposées (responsables et délais à valider). 4) SoA : relisez les décisions proposées, ajustez justifications et états de mise en œuvre. 5) Indicateurs : fixez les cibles et suivez les valeurs.</t>
  </si>
  <si>
    <t xml:space="preserve">Cellules à compléter</t>
  </si>
  <si>
    <t xml:space="preserve">En-têtes dorés et cellules jaune clair. Texte bleu = valeur de paramétrage modifiable (onglet Méthode). Les autres cellules contiennent du texte ou des formules : ne pas les écraser.</t>
  </si>
  <si>
    <t xml:space="preserve">Ce qui est prérempli</t>
  </si>
  <si>
    <t xml:space="preserve">Risques : 12 scénarios (11 regroupant les écarts et un risque physique du siège), avec cotation et justification proposées. Traitement : 36 actions proposées. SoA : les 93 contrôles de l'Annexe A (intitulés de l'édition française) avec décision d'applicabilité proposée, justification, risques, actions et état de mise en œuvre estimé d'après le cas. Indicateurs : valeurs de départ tirées du cas quand elles existent.</t>
  </si>
  <si>
    <t xml:space="preserve">Hypothèses</t>
  </si>
  <si>
    <t xml:space="preserve">Les échelles 1 à 4, les seuils (critique ≥ 12, élevé ≥ 8, modéré ≥ 4) et le seuil d'acceptation (≤ 3) sont des propositions de départ. Selon la clause 6.1.2, les critères d'acceptation des risques doivent être établis et validés par la direction : à documenter dans votre rapport. Les scénarios de risque et les cibles d'indicateurs sont des hypothèses à justifier.</t>
  </si>
  <si>
    <t xml:space="preserve">Droits d'auteur</t>
  </si>
  <si>
    <t xml:space="preserve">Ce fichier ne reproduit que les intitulés des contrôles, pas le texte de la norme. La norme ISO/IEC 27001:2022 est protégée : ne la publiez pas.</t>
  </si>
  <si>
    <t xml:space="preserve">Méthode d'appréciation des risques (proposition)</t>
  </si>
  <si>
    <t xml:space="preserve">Inspirée de l'approche ISO/IEC 27005 : niveau de risque = vraisemblance × impact. À faire valider (clause 6.1.2 a).</t>
  </si>
  <si>
    <t xml:space="preserve">Échelle de vraisemblance</t>
  </si>
  <si>
    <t xml:space="preserve">Niveau</t>
  </si>
  <si>
    <t xml:space="preserve">Libellé</t>
  </si>
  <si>
    <t xml:space="preserve">Définition (proposition)</t>
  </si>
  <si>
    <t xml:space="preserve">Rare</t>
  </si>
  <si>
    <t xml:space="preserve">Peu probable au cours des 12 prochains mois.</t>
  </si>
  <si>
    <t xml:space="preserve">Possible</t>
  </si>
  <si>
    <t xml:space="preserve">Peut se produire environ une fois par an.</t>
  </si>
  <si>
    <t xml:space="preserve">Probable</t>
  </si>
  <si>
    <t xml:space="preserve">Se produit plusieurs fois par an ou s'est déjà produit dans l'organisation.</t>
  </si>
  <si>
    <t xml:space="preserve">Quasi certain</t>
  </si>
  <si>
    <t xml:space="preserve">Se produit en continu ou s'est produit plusieurs fois récemment.</t>
  </si>
  <si>
    <t xml:space="preserve">Échelle d'impact</t>
  </si>
  <si>
    <t xml:space="preserve">Mineur</t>
  </si>
  <si>
    <t xml:space="preserve">Gêne limitée, sans effet visible pour les clients.</t>
  </si>
  <si>
    <t xml:space="preserve">Modéré</t>
  </si>
  <si>
    <t xml:space="preserve">Dégradation de service ou fuite limitée, traitée en interne.</t>
  </si>
  <si>
    <t xml:space="preserve">Majeur</t>
  </si>
  <si>
    <t xml:space="preserve">Interruption de service pour des clients, fuite de données sensibles ou obligation de notification.</t>
  </si>
  <si>
    <t xml:space="preserve">Critique</t>
  </si>
  <si>
    <t xml:space="preserve">Interruption prolongée des paiements, fuite massive, sanction réglementaire ou perte d'un contrat majeur.</t>
  </si>
  <si>
    <t xml:space="preserve">Matrice des niveaux (calculée)</t>
  </si>
  <si>
    <t xml:space="preserve">Vraisemblance \ Impact</t>
  </si>
  <si>
    <t xml:space="preserve">Seuils (modifiables)</t>
  </si>
  <si>
    <t xml:space="preserve">Seuil « Critique » (niveau ≥)</t>
  </si>
  <si>
    <t xml:space="preserve">Seuil « Élevé » (niveau ≥)</t>
  </si>
  <si>
    <t xml:space="preserve">Seuil « Modéré » (niveau ≥)</t>
  </si>
  <si>
    <t xml:space="preserve">Seuil d'acceptation (niveau ≤)</t>
  </si>
  <si>
    <t xml:space="preserve">Hypothèse : seuils proposés par l'auteure, à faire valider par la direction (critères d'acceptation, clause 6.1.2 a).</t>
  </si>
  <si>
    <t xml:space="preserve">Registre des risques</t>
  </si>
  <si>
    <t xml:space="preserve">Cotation proposée (échelles 1 à 4 de l'onglet Méthode), justifiée par des faits du cas. Les cotes résiduelles sont des cibles après traitement. Modifiez les colonnes dorées si vous n'êtes pas d'accord.</t>
  </si>
  <si>
    <t xml:space="preserve">ID risque</t>
  </si>
  <si>
    <t xml:space="preserve">Intitulé du risque</t>
  </si>
  <si>
    <t xml:space="preserve">Scénario (hypothèse : cause → événement → conséquence)</t>
  </si>
  <si>
    <t xml:space="preserve">Actifs concernés</t>
  </si>
  <si>
    <t xml:space="preserve">C / I / D</t>
  </si>
  <si>
    <t xml:space="preserve">Propriétaire du risque (rôle)</t>
  </si>
  <si>
    <t xml:space="preserve">Écarts liés</t>
  </si>
  <si>
    <t xml:space="preserve">Vraisemblance (1-4)</t>
  </si>
  <si>
    <t xml:space="preserve">Impact (1-4)</t>
  </si>
  <si>
    <t xml:space="preserve">Justification de la cotation</t>
  </si>
  <si>
    <t xml:space="preserve">Niveau brut</t>
  </si>
  <si>
    <t xml:space="preserve">Classe</t>
  </si>
  <si>
    <t xml:space="preserve">Décision</t>
  </si>
  <si>
    <t xml:space="preserve">Option de traitement</t>
  </si>
  <si>
    <t xml:space="preserve">Contrôles Annexe A visés</t>
  </si>
  <si>
    <t xml:space="preserve">Vraisemblance résiduelle (1-4)</t>
  </si>
  <si>
    <t xml:space="preserve">Impact résiduel (1-4)</t>
  </si>
  <si>
    <t xml:space="preserve">Niveau résiduel</t>
  </si>
  <si>
    <t xml:space="preserve">Classe résiduelle</t>
  </si>
  <si>
    <t xml:space="preserve">Actions du plan</t>
  </si>
  <si>
    <t xml:space="preserve">Statut</t>
  </si>
  <si>
    <t xml:space="preserve">R-01</t>
  </si>
  <si>
    <t xml:space="preserve">Compromission d'un compte privilégié</t>
  </si>
  <si>
    <t xml:space="preserve">Un attaquant obtient les identifiants d'un administrateur (phishing, fatigue MFA) ; des droits hérités et l'absence de PAM lui permettent d'agir sur Azure ; fuite, altération ou arrêt de services.</t>
  </si>
  <si>
    <t xml:space="preserve">Identités et habilitations ; Entra ID ; abonnements Azure ; secrets</t>
  </si>
  <si>
    <t xml:space="preserve">C, I, D</t>
  </si>
  <si>
    <t xml:space="preserve">CISO</t>
  </si>
  <si>
    <t xml:space="preserve">IAM-01 ; IAM-02 ; IAM-03 ; IAM-04 ; IAM-06 ; HUM-01</t>
  </si>
  <si>
    <t xml:space="preserve">Vraisemblance 3 : l'événement s'est déjà produit le 3 sept. 2026 (§13) et ses causes (droits hérités, PAM en pilote) subsistent. Impact 4 : un rôle privilégié Azure peut toucher les données de transaction et la disponibilité de la plateforme ; l'incident a été classé majeur.
Résiduel : l'accès à la demande et le MFA résistant au phishing rendent l'événement moins probable (2) et limitent l'étendue des droits (impact 3).</t>
  </si>
  <si>
    <t xml:space="preserve">Réduire</t>
  </si>
  <si>
    <t xml:space="preserve">A.5.16 ; A.5.18 ; A.8.2 ; A.8.5 ; A.6.3</t>
  </si>
  <si>
    <t xml:space="preserve">T-01 ; T-02 ; T-03 ; T-04 ; T-05 ; T-33</t>
  </si>
  <si>
    <t xml:space="preserve">Évalué</t>
  </si>
  <si>
    <t xml:space="preserve">R-02</t>
  </si>
  <si>
    <t xml:space="preserve">Détection et réponse tardives à une intrusion</t>
  </si>
  <si>
    <t xml:space="preserve">Des sources de logs non intégrées et un contrat MSSP non à jour retardent l'alerte et l'escalade ; l'attaquant reste actif plus longtemps.</t>
  </si>
  <si>
    <t xml:space="preserve">Logs de sécurité ; Sentinel ; Defender XDR ; contrat MSSP</t>
  </si>
  <si>
    <t xml:space="preserve">SOC-01 ; SOC-02 ; SOC-03 ; SOC-04 ; SOC-05 ; IAM-08</t>
  </si>
  <si>
    <t xml:space="preserve">Vraisemblance 3 : l'alerte SIEM a été tardive le 3 sept. 2026 et des logs AKS et Entra ID n'étaient pas exploités en août 2026 (§12, §13). Impact 3 : une détection tardive allonge la présence de l'attaquant ; aucune exfiltration massive n'a été identifiée lors de l'incident.
Résiduel : couverture des logs et contrat MSSP révisé réduisent la probabilité d'une détection tardive (2) ; l'impact potentiel d'une intrusion reste majeur (3).</t>
  </si>
  <si>
    <t xml:space="preserve">A.8.15 ; A.8.16 ; A.5.24 ; A.5.25 ; A.5.26 ; A.5.22</t>
  </si>
  <si>
    <t xml:space="preserve">T-06 ; T-07 ; T-08 ; T-09 ; T-31</t>
  </si>
  <si>
    <t xml:space="preserve">R-03</t>
  </si>
  <si>
    <t xml:space="preserve">Comptes actifs non justifiés (départs, externes, mobilités)</t>
  </si>
  <si>
    <t xml:space="preserve">Un compte reste actif après un départ, une fin de mission ou un changement de fonction ; il est détourné ou abusé.</t>
  </si>
  <si>
    <t xml:space="preserve">Identités et habilitations</t>
  </si>
  <si>
    <t xml:space="preserve">C, I</t>
  </si>
  <si>
    <t xml:space="preserve">IAM-01 ; IAM-02 ; IAM-09</t>
  </si>
  <si>
    <t xml:space="preserve">Vraisemblance 3 : deux cas documentés en 2026, un compte de consultant actif 11 jours (avril) et un rôle hérité d'un ancien projet (sept.) ; aucun abus observé dans le premier cas. Impact 3 : un compte non justifié donne un accès non autorisé à des systèmes internes.
Résiduel : automatisation des départs et mobilités et revue des accès réduisent la probabilité (2) ; l'impact potentiel reste majeur (3).</t>
  </si>
  <si>
    <t xml:space="preserve">A.5.16 ; A.5.18 ; A.5.11</t>
  </si>
  <si>
    <t xml:space="preserve">T-10 ; T-11</t>
  </si>
  <si>
    <t xml:space="preserve">R-04</t>
  </si>
  <si>
    <t xml:space="preserve">Exposition de secrets et d'identifiants techniques</t>
  </si>
  <si>
    <t xml:space="preserve">Des secrets statiques ou présents dans d'anciens dépôts sont exploités pour accéder à des ressources.</t>
  </si>
  <si>
    <t xml:space="preserve">Clés, secrets, certificats ; code source et pipelines ; comptes de service</t>
  </si>
  <si>
    <t xml:space="preserve">CTO</t>
  </si>
  <si>
    <t xml:space="preserve">IAM-07 ; DEV-04</t>
  </si>
  <si>
    <t xml:space="preserve">Vraisemblance 2 : des secrets statiques subsistent et d'anciens dépôts ne sont pas assainis (§6, §7) ; aucune exploitation n'est constatée, mais des secrets ont dû être renouvelés après l'incident (§13). Impact 4 : les clés et secrets sont jugés critiques en confidentialité et intégrité (§5).
Résiduel : secrets dans Key Vault avec rotation et dépôts assainis rendent l'exploitation peu probable (1) ; des identités managées limitent l'étendue d'un secret compromis (impact 3).</t>
  </si>
  <si>
    <t xml:space="preserve">A.5.17 ; A.8.4 ; A.8.24 ; A.8.28</t>
  </si>
  <si>
    <t xml:space="preserve">T-12 ; T-13</t>
  </si>
  <si>
    <t xml:space="preserve">R-05</t>
  </si>
  <si>
    <t xml:space="preserve">Mauvaise configuration cloud entraînant une exposition</t>
  </si>
  <si>
    <t xml:space="preserve">Une ressource Azure créée manuellement ou mal configurée expose des données ou des services.</t>
  </si>
  <si>
    <t xml:space="preserve">Azure ; stockage Blob ; données KYC</t>
  </si>
  <si>
    <t xml:space="preserve">CIO</t>
  </si>
  <si>
    <t xml:space="preserve">CLD-01 ; CLD-02</t>
  </si>
  <si>
    <t xml:space="preserve">Vraisemblance 3 : un conteneur de stockage mal configuré a été détecté en février 2026 (§12) et des ressources restent créées manuellement (§4). Impact 3 : des dossiers KYC sont stockés dans le stockage objet (§4) ; l'exposition de février était limitée.
Résiduel : Azure Policy et IaC réduisent les écarts de configuration (2) ; l'impact potentiel sur des données KYC reste majeur (3).</t>
  </si>
  <si>
    <t xml:space="preserve">A.8.9 ; A.8.3 ; A.5.23 ; A.8.32</t>
  </si>
  <si>
    <t xml:space="preserve">T-14</t>
  </si>
  <si>
    <t xml:space="preserve">R-06</t>
  </si>
  <si>
    <t xml:space="preserve">Mise en production de code vulnérable</t>
  </si>
  <si>
    <t xml:space="preserve">Des contrôles de sécurité non bloquants ou incomplets laissent passer une vulnérabilité exploitable ; changement urgent mal documenté.</t>
  </si>
  <si>
    <t xml:space="preserve">Code source et pipelines ; APIs ; portail commerçants</t>
  </si>
  <si>
    <t xml:space="preserve">DEV-01 ; DEV-02 ; DEV-03 ; CLD-04</t>
  </si>
  <si>
    <t xml:space="preserve">Vraisemblance 3 : sur les applications historiques les résultats de scan créent un ticket sans bloquer le déploiement, le SAST couvre environ 80 % des dépôts (§7) ; hypothèse : des vulnérabilités atteignent donc régulièrement la production. Impact 3 : APIs et portail exposés à Internet.
Résiduel : seuils de blocage homogènes et couverture complète réduisent la probabilité (2) ; l'exposition des APIs maintient un impact majeur (3).</t>
  </si>
  <si>
    <t xml:space="preserve">A.8.25 ; A.8.28 ; A.8.29 ; A.8.8 ; A.8.32</t>
  </si>
  <si>
    <t xml:space="preserve">T-15 ; T-16 ; T-17 ; T-34</t>
  </si>
  <si>
    <t xml:space="preserve">R-07</t>
  </si>
  <si>
    <t xml:space="preserve">Indisponibilité prolongée de la plateforme de paiement</t>
  </si>
  <si>
    <t xml:space="preserve">Une panne ou un sinistre dépasse les RTO car le PRA n'a pas été testé de bout en bout et le BIA n'est pas à jour.</t>
  </si>
  <si>
    <t xml:space="preserve">API de paiement ; base de transactions ; sauvegardes</t>
  </si>
  <si>
    <t xml:space="preserve">D, I</t>
  </si>
  <si>
    <t xml:space="preserve">CON-01 ; CON-02 ; CON-03 ; CON-04 ; CON-05</t>
  </si>
  <si>
    <t xml:space="preserve">Vraisemblance 2 : aucune interruption majeure n'est rapportée, mais le test de juin 2026 a dépassé l'objectif (6 h 40 pour 4 h) et les tests de bascule sont irréguliers (§9). Impact 4 : une interruption empêche des centaines de commerçants d'encaisser et l'objectif de disponibilité est de 99,95 % (§1, §2).
Résiduel : BIA validé et PRA éprouvé de bout en bout ramènent la durée d'une interruption dans les RTO (impact 3) ; la probabilité d'un sinistre reste inchangée (2).</t>
  </si>
  <si>
    <t xml:space="preserve">A.5.29 ; A.5.30 ; A.8.13 ; A.8.14</t>
  </si>
  <si>
    <t xml:space="preserve">T-18 ; T-19</t>
  </si>
  <si>
    <t xml:space="preserve">R-08</t>
  </si>
  <si>
    <t xml:space="preserve">Défaillance d'un fournisseur critique ou de sa sécurité</t>
  </si>
  <si>
    <t xml:space="preserve">Azure, le MSSP, l'eKYC ou l'OTP subit un incident ou ne respecte pas les exigences ; des clauses d'audit, de sortie ou de sous-traitance manquent.</t>
  </si>
  <si>
    <t xml:space="preserve">Contrats ; services Azure, MSSP, eKYC, OTP</t>
  </si>
  <si>
    <t xml:space="preserve">FOU-01 ; FOU-02 ; FOU-03 ; FOU-04 ; SOC-04</t>
  </si>
  <si>
    <t xml:space="preserve">Vraisemblance 2 : aucun incident fournisseur n'est rapporté, mais la grille d'évaluation n'est pas appliquée aux prestataires historiques et les contrats anciens sont hétérogènes (§10). Impact 4 : Azure et le MSSP sont jugés critiques pour la production, l'IAM technique et la détection (§10).
Résiduel : évaluation, clauses contractuelles et plans de sortie limitent les conséquences d'une défaillance (impact 3) ; la probabilité dépend des tiers (2).</t>
  </si>
  <si>
    <t xml:space="preserve">A.5.19 ; A.5.20 ; A.5.21 ; A.5.22 ; A.5.23</t>
  </si>
  <si>
    <t xml:space="preserve">T-20 ; T-21</t>
  </si>
  <si>
    <t xml:space="preserve">R-09</t>
  </si>
  <si>
    <t xml:space="preserve">Non-conformité réglementaire ou contractuelle</t>
  </si>
  <si>
    <t xml:space="preserve">Des exigences (BCT, protection des données, PCI DSS, éventuellement RGPD) ne sont pas identifiées ou respectées ; sanction ou perte de contrat.</t>
  </si>
  <si>
    <t xml:space="preserve">Contrats et procédures ; données personnelles</t>
  </si>
  <si>
    <t xml:space="preserve">Risques &amp; Conformité (DPO)</t>
  </si>
  <si>
    <t xml:space="preserve">LEG-01 ; LEG-02 ; LEG-03</t>
  </si>
  <si>
    <t xml:space="preserve">Vraisemblance 3 : l'applicabilité des textes et de PCI DSS reste à analyser et aucun registre des exigences n'est mentionné (§11) ; hypothèse : des exigences non identifiées existent probablement. Impact 3 : sanction, perte d'un contrat de grand compte (§1) ou obligations non respectées.
Résiduel : un registre des exigences tenu à jour rend une non-conformité non détectée rare (1) ; l'impact potentiel d'une sanction reste majeur (3).</t>
  </si>
  <si>
    <t xml:space="preserve">A.5.31 ; A.5.34 ; A.5.36</t>
  </si>
  <si>
    <t xml:space="preserve">T-22</t>
  </si>
  <si>
    <t xml:space="preserve">R-10</t>
  </si>
  <si>
    <t xml:space="preserve">Divulgation de données sensibles hors des circuits prévus</t>
  </si>
  <si>
    <t xml:space="preserve">Mauvaise classification, exports et documents partenaires non protégés, données de production dans des environnements non production.</t>
  </si>
  <si>
    <t xml:space="preserve">Données de transaction ; données KYC ; exports de reporting</t>
  </si>
  <si>
    <t xml:space="preserve">C</t>
  </si>
  <si>
    <t xml:space="preserve">ACT-01 ; ACT-02 ; CLD-03</t>
  </si>
  <si>
    <t xml:space="preserve">Vraisemblance 3 : la classification n'est pas appliquée uniformément aux exports et documents partenaires, l'inventaire n'est pas consolidé et des jeux de données issus de la production circulent en test (§5, §7, §12). Impact 3 : des données de transaction et KYC sont très sensibles en confidentialité (§5).
Résiduel : marquage, règles de partage et masquage contrôlé réduisent la probabilité (2) ; la sensibilité des données maintient l'impact (3).</t>
  </si>
  <si>
    <t xml:space="preserve">A.5.9 ; A.5.12 ; A.5.13 ; A.5.14 ; A.8.11 ; A.8.31 ; A.8.33</t>
  </si>
  <si>
    <t xml:space="preserve">T-23 ; T-24 ; T-25 ; T-35</t>
  </si>
  <si>
    <t xml:space="preserve">R-11</t>
  </si>
  <si>
    <t xml:space="preserve">Gouvernance du SMSI insuffisante</t>
  </si>
  <si>
    <t xml:space="preserve">Des rôles flous, des décisions non suivies et l'absence de pilotage (risques, audits, indicateurs) empêchent de démontrer la maîtrise des risques.</t>
  </si>
  <si>
    <t xml:space="preserve">SMSI ; politiques ; comité Cyber &amp; Risques</t>
  </si>
  <si>
    <t xml:space="preserve">CEO</t>
  </si>
  <si>
    <t xml:space="preserve">GOV-01 ; GOV-02 ; GOV-03 ; GOV-04 ; GOV-05 ; GOV-06 ; PIL-01 ; PIL-02</t>
  </si>
  <si>
    <t xml:space="preserve">Vraisemblance 4 : la situation existe en continu (rôles non formalisés, suivi des décisions dispersé, §3 et §12). Impact 3 : la direction ne peut pas démontrer la maîtrise des risques (§13), ce qui menace la certification visée et les contrats de grands comptes.
Résiduel : rôles approuvés, suivi centralisé et revue de direction réduisent la probabilité (2) ; l'impact devient modéré car les écarts seront détectés et traités (2).</t>
  </si>
  <si>
    <t xml:space="preserve">A.5.1 ; A.5.2 ; A.5.4 ; A.5.35 ; A.5.36</t>
  </si>
  <si>
    <t xml:space="preserve">T-26 ; T-27 ; T-28 ; T-29 ; T-30 ; T-32</t>
  </si>
  <si>
    <t xml:space="preserve">R-12</t>
  </si>
  <si>
    <t xml:space="preserve">Accès physique non autorisé ou perte d'équipement au siège</t>
  </si>
  <si>
    <t xml:space="preserve">Un accès non autorisé aux locaux, ou la perte ou le vol d'un poste d'administration ou d'un équipement réseau, expose des accès ou des données.</t>
  </si>
  <si>
    <t xml:space="preserve">Siège ; équipements réseau ; postes d'administration ; postes portables</t>
  </si>
  <si>
    <t xml:space="preserve">(aucun écart relevé dans le cas)</t>
  </si>
  <si>
    <t xml:space="preserve">Vraisemblance 2 : le siège ne contient que des équipements réseau, des services locaux limités et des postes d'administration (§4) ; aucun incident physique n'est rapporté. Impact 2 : la production est dans Azure ; un poste perdu serait protégé par l'EDR et le MFA mais reste un vecteur d'accès (hypothèse).
Résiduel : contrôle d'accès aux locaux, chiffrement des postes et procédure de perte ou de vol réduisent la probabilité (1) ; l'impact reste modéré (2).</t>
  </si>
  <si>
    <t xml:space="preserve">A.7.1 ; A.7.2 ; A.7.3 ; A.7.4 ; A.7.8 ; A.7.9 ; A.7.13</t>
  </si>
  <si>
    <t xml:space="preserve">T-36</t>
  </si>
  <si>
    <t xml:space="preserve">Plan de traitement des risques</t>
  </si>
  <si>
    <t xml:space="preserve">Actions proposées pour réduire chaque risque ; échéances en mois à partir du lancement du projet (septembre 2026). Responsables et délais à valider avec les propriétaires de risques.</t>
  </si>
  <si>
    <t xml:space="preserve">ID action</t>
  </si>
  <si>
    <t xml:space="preserve">Risque (ID)</t>
  </si>
  <si>
    <t xml:space="preserve">Option</t>
  </si>
  <si>
    <t xml:space="preserve">Mesure / action à mettre en œuvre</t>
  </si>
  <si>
    <t xml:space="preserve">Contrôle(s) Annexe A</t>
  </si>
  <si>
    <t xml:space="preserve">Responsable (rôle)</t>
  </si>
  <si>
    <t xml:space="preserve">Échéance (mois du projet)</t>
  </si>
  <si>
    <t xml:space="preserve">Priorité</t>
  </si>
  <si>
    <t xml:space="preserve">Indicateur de réussite</t>
  </si>
  <si>
    <t xml:space="preserve">T-01</t>
  </si>
  <si>
    <t xml:space="preserve">Activer l'accès privilégié à la demande avec approbation pour tous les rôles Azure à privilèges et supprimer les rôles permanents hors comptes de secours.</t>
  </si>
  <si>
    <t xml:space="preserve">A.8.2 ; A.5.18</t>
  </si>
  <si>
    <t xml:space="preserve">Mois 3</t>
  </si>
  <si>
    <t xml:space="preserve">Haute</t>
  </si>
  <si>
    <t xml:space="preserve">À planifier</t>
  </si>
  <si>
    <t xml:space="preserve">0 rôle privilégié permanent hors comptes de secours</t>
  </si>
  <si>
    <t xml:space="preserve">T-02</t>
  </si>
  <si>
    <t xml:space="preserve">Imposer une méthode MFA résistante au phishing (ou number matching) aux comptes d'administration, via l'accès conditionnel.</t>
  </si>
  <si>
    <t xml:space="preserve">A.8.5 ; A.5.17</t>
  </si>
  <si>
    <t xml:space="preserve">Mois 2</t>
  </si>
  <si>
    <t xml:space="preserve">100 % des comptes d'administration concernés</t>
  </si>
  <si>
    <t xml:space="preserve">T-03</t>
  </si>
  <si>
    <t xml:space="preserve">Mener une revue exceptionnelle des rôles Azure et retirer les droits hérités d'anciens projets.</t>
  </si>
  <si>
    <t xml:space="preserve">A.5.18</t>
  </si>
  <si>
    <t xml:space="preserve">Mois 1</t>
  </si>
  <si>
    <t xml:space="preserve">Revue terminée, écarts clos (KPI-03)</t>
  </si>
  <si>
    <t xml:space="preserve">T-04</t>
  </si>
  <si>
    <t xml:space="preserve">Étendre les comptes d'administration dédiés à toutes les équipes et faire passer le PAM du pilote à la production.</t>
  </si>
  <si>
    <t xml:space="preserve">A.8.2</t>
  </si>
  <si>
    <t xml:space="preserve">Mois 6</t>
  </si>
  <si>
    <t xml:space="preserve">Moyenne</t>
  </si>
  <si>
    <t xml:space="preserve">PAM en production, 100 % des administrateurs avec compte dédié</t>
  </si>
  <si>
    <t xml:space="preserve">T-05</t>
  </si>
  <si>
    <t xml:space="preserve">Former les rôles à privilèges au phishing et à la fatigue MFA, puis simuler une campagne ciblée.</t>
  </si>
  <si>
    <t xml:space="preserve">A.6.3</t>
  </si>
  <si>
    <t xml:space="preserve">100 % des administrateurs formés ; taux de signalement suivi (KPI-10)</t>
  </si>
  <si>
    <t xml:space="preserve">T-06</t>
  </si>
  <si>
    <t xml:space="preserve">Intégrer dans Sentinel les logs AKS, les événements Entra ID avancés et les journaux d'administration Azure.</t>
  </si>
  <si>
    <t xml:space="preserve">A.8.15 ; A.8.16</t>
  </si>
  <si>
    <t xml:space="preserve">100 % des sources critiques collectées (KPI-04)</t>
  </si>
  <si>
    <t xml:space="preserve">T-07</t>
  </si>
  <si>
    <t xml:space="preserve">Exiger une revue des règles de détection à chaque changement d'architecture, intégrée à la gestion des changements.</t>
  </si>
  <si>
    <t xml:space="preserve">A.8.16 ; A.8.32</t>
  </si>
  <si>
    <t xml:space="preserve">Aucun changement d'architecture clos sans revue de détection</t>
  </si>
  <si>
    <t xml:space="preserve">T-08</t>
  </si>
  <si>
    <t xml:space="preserve">Réviser le contrat MSSP et son annexe : sources de logs, responsabilités, délais d'escalade.</t>
  </si>
  <si>
    <t xml:space="preserve">A.5.20 ; A.5.22</t>
  </si>
  <si>
    <t xml:space="preserve">Mois 4</t>
  </si>
  <si>
    <t xml:space="preserve">Annexe signée et alignée sur l'architecture actuelle</t>
  </si>
  <si>
    <t xml:space="preserve">T-09</t>
  </si>
  <si>
    <t xml:space="preserve">Planifier deux exercices de crise par an dont un avec la Direction générale, et suivre les actions décidées.</t>
  </si>
  <si>
    <t xml:space="preserve">A.5.24 ; A.5.27</t>
  </si>
  <si>
    <t xml:space="preserve">2 exercices réalisés, actions closes (KPI-09)</t>
  </si>
  <si>
    <t xml:space="preserve">T-10</t>
  </si>
  <si>
    <t xml:space="preserve">Automatiser les départs et mobilités, et révoquer les comptes externes à la date de fin de mission enregistrée.</t>
  </si>
  <si>
    <t xml:space="preserve">A.5.16 ; A.5.18</t>
  </si>
  <si>
    <t xml:space="preserve">Mois 5</t>
  </si>
  <si>
    <t xml:space="preserve">Délai de désactivation ≤ 1 jour (KPI-02)</t>
  </si>
  <si>
    <t xml:space="preserve">T-11</t>
  </si>
  <si>
    <t xml:space="preserve">Fixer un calendrier unique de revues d'accès, semestrielles pour les systèmes critiques.</t>
  </si>
  <si>
    <t xml:space="preserve">100 % des revues réalisées à temps (KPI-03)</t>
  </si>
  <si>
    <t xml:space="preserve">T-12</t>
  </si>
  <si>
    <t xml:space="preserve">Migrer les secrets statiques vers Key Vault avec rotation planifiée ; utiliser des identités managées quand c'est possible.</t>
  </si>
  <si>
    <t xml:space="preserve">A.5.17 ; A.8.24</t>
  </si>
  <si>
    <t xml:space="preserve">0 secret statique hors coffre</t>
  </si>
  <si>
    <t xml:space="preserve">T-13</t>
  </si>
  <si>
    <t xml:space="preserve">Assainir les anciens dépôts : scan de secrets sur l'historique et rotation des secrets trouvés.</t>
  </si>
  <si>
    <t xml:space="preserve">A.8.4 ; A.8.28</t>
  </si>
  <si>
    <t xml:space="preserve">0 secret actif détecté dans les dépôts</t>
  </si>
  <si>
    <t xml:space="preserve">Faire appliquer les standards de configuration par Azure Policy et l'IaC ; migrer ou documenter les ressources créées manuellement.</t>
  </si>
  <si>
    <t xml:space="preserve">A.8.9 ; A.5.23</t>
  </si>
  <si>
    <t xml:space="preserve">0 ressource hors standard non documentée</t>
  </si>
  <si>
    <t xml:space="preserve">T-15</t>
  </si>
  <si>
    <t xml:space="preserve">Harmoniser les seuils de blocage des scans (SAST, dépendances, secrets) dans les pipelines de tous les produits.</t>
  </si>
  <si>
    <t xml:space="preserve">A.8.25 ; A.8.29</t>
  </si>
  <si>
    <t xml:space="preserve">Seuils identiques sur tous les produits</t>
  </si>
  <si>
    <t xml:space="preserve">T-16</t>
  </si>
  <si>
    <t xml:space="preserve">Étendre le SAST aux dépôts actifs restants.</t>
  </si>
  <si>
    <t xml:space="preserve">A.8.28 ; A.8.29</t>
  </si>
  <si>
    <t xml:space="preserve">100 % des dépôts actifs couverts (KPI-06)</t>
  </si>
  <si>
    <t xml:space="preserve">T-17</t>
  </si>
  <si>
    <t xml:space="preserve">Documenter les changements urgents et les contrôler a posteriori.</t>
  </si>
  <si>
    <t xml:space="preserve">A.8.32</t>
  </si>
  <si>
    <t xml:space="preserve">100 % des changements urgents revus sous 5 jours ouvrés</t>
  </si>
  <si>
    <t xml:space="preserve">T-18</t>
  </si>
  <si>
    <t xml:space="preserve">Mettre à jour le BIA et faire valider formellement les RTO et RPO par la Direction.</t>
  </si>
  <si>
    <t xml:space="preserve">A.5.29 ; A.5.30</t>
  </si>
  <si>
    <t xml:space="preserve">BIA et objectifs approuvés</t>
  </si>
  <si>
    <t xml:space="preserve">T-19</t>
  </si>
  <si>
    <t xml:space="preserve">Clore le plan d'action du test de juin 2026 et planifier un test PRA de bout en bout avec les métiers et un partenaire bancaire.</t>
  </si>
  <si>
    <t xml:space="preserve">A.8.13 ; A.8.14 ; A.5.30</t>
  </si>
  <si>
    <t xml:space="preserve">Temps de restauration ≤ RTO (KPI-07)</t>
  </si>
  <si>
    <t xml:space="preserve">T-20</t>
  </si>
  <si>
    <t xml:space="preserve">Appliquer la grille d'évaluation à tous les fournisseurs critiques et réviser leurs contrats (audit, sortie, localisation des données, sous-traitants).</t>
  </si>
  <si>
    <t xml:space="preserve">A.5.19 ; A.5.20 ; A.5.22</t>
  </si>
  <si>
    <t xml:space="preserve">100 % des fournisseurs critiques évalués (KPI-08)</t>
  </si>
  <si>
    <t xml:space="preserve">T-21</t>
  </si>
  <si>
    <t xml:space="preserve">Définir la répartition des responsabilités cloud et un plan de sortie pour Azure et le MSSP ; revoir les niveaux de service des services réseau cloud.</t>
  </si>
  <si>
    <t xml:space="preserve">A.5.21 ; A.5.23 ; A.8.21</t>
  </si>
  <si>
    <t xml:space="preserve">Mois 8</t>
  </si>
  <si>
    <t xml:space="preserve">Plans de sortie approuvés</t>
  </si>
  <si>
    <t xml:space="preserve">Établir avec le DPO et le juridique le registre des exigences légales, réglementaires et contractuelles, y compris PCI DSS et l'analyse RGPD.</t>
  </si>
  <si>
    <t xml:space="preserve">Risques &amp; Conformité</t>
  </si>
  <si>
    <t xml:space="preserve">Registre approuvé et revu chaque année</t>
  </si>
  <si>
    <t xml:space="preserve">T-23</t>
  </si>
  <si>
    <t xml:space="preserve">Appliquer la classification aux exports de reporting et aux documents partenaires : marquage et règles de partage.</t>
  </si>
  <si>
    <t xml:space="preserve">A.5.12 ; A.5.13 ; A.5.14</t>
  </si>
  <si>
    <t xml:space="preserve">Échantillon de contrôle conforme à 100 %</t>
  </si>
  <si>
    <t xml:space="preserve">T-24</t>
  </si>
  <si>
    <t xml:space="preserve">Interdire les données de production non masquées dans DEV et TEST et contrôler son application.</t>
  </si>
  <si>
    <t xml:space="preserve">A.8.11 ; A.8.31 ; A.8.33</t>
  </si>
  <si>
    <t xml:space="preserve">0 jeu de données non masqué hors production</t>
  </si>
  <si>
    <t xml:space="preserve">T-25</t>
  </si>
  <si>
    <t xml:space="preserve">Consolider l'inventaire des actifs informationnels avec un propriétaire pour chaque actif.</t>
  </si>
  <si>
    <t xml:space="preserve">A.5.9</t>
  </si>
  <si>
    <t xml:space="preserve">Inventaire unique avec 100 % de propriétaires</t>
  </si>
  <si>
    <t xml:space="preserve">T-26</t>
  </si>
  <si>
    <t xml:space="preserve">Formaliser les rôles du SMSI (matrice RACI) et les faire approuver par la Direction.</t>
  </si>
  <si>
    <t xml:space="preserve">A.5.2 ; A.5.4</t>
  </si>
  <si>
    <t xml:space="preserve">RACI approuvée</t>
  </si>
  <si>
    <t xml:space="preserve">T-27</t>
  </si>
  <si>
    <t xml:space="preserve">Mettre en place un suivi centralisé des décisions et actions du comité Cyber &amp; Risques.</t>
  </si>
  <si>
    <t xml:space="preserve">A.5.4</t>
  </si>
  <si>
    <t xml:space="preserve">Registre à jour à chaque comité</t>
  </si>
  <si>
    <t xml:space="preserve">T-28</t>
  </si>
  <si>
    <t xml:space="preserve">Définir le programme d'audit interne et la revue de direction (clauses 9.2 et 9.3).</t>
  </si>
  <si>
    <t xml:space="preserve">A.5.35 ; A.5.36</t>
  </si>
  <si>
    <t xml:space="preserve">Premier audit interne et revue de direction réalisés</t>
  </si>
  <si>
    <t xml:space="preserve">T-29</t>
  </si>
  <si>
    <t xml:space="preserve">Mettre en place un tableau de bord d'indicateurs présenté à la Direction (clause 9.1).</t>
  </si>
  <si>
    <t xml:space="preserve">—</t>
  </si>
  <si>
    <t xml:space="preserve">Tableau de bord présenté à chaque comité</t>
  </si>
  <si>
    <t xml:space="preserve">T-30</t>
  </si>
  <si>
    <t xml:space="preserve">Compléter le cadre documentaire : revue annuelle des politiques, procédures d'exploitation, règles de conservation et de protection des enregistrements, gestion des licences de composants.</t>
  </si>
  <si>
    <t xml:space="preserve">A.5.1 ; A.5.37 ; A.5.33 ; A.5.32 ; A.8.10</t>
  </si>
  <si>
    <t xml:space="preserve">Politiques revues et procédures publiées</t>
  </si>
  <si>
    <t xml:space="preserve">T-31</t>
  </si>
  <si>
    <t xml:space="preserve">Structurer la veille sur les menaces, les contacts avec les autorités et groupes sectoriels, la collecte de preuves, la grille de priorités des incidents et le signalement par le personnel ; vérifier la synchronisation des horloges.</t>
  </si>
  <si>
    <t xml:space="preserve">A.5.5 ; A.5.6 ; A.5.7 ; A.5.25 ; A.5.26 ; A.5.28 ; A.6.8 ; A.8.17</t>
  </si>
  <si>
    <t xml:space="preserve">Procédure de preuves approuvée, canal de signalement en service</t>
  </si>
  <si>
    <t xml:space="preserve">T-32</t>
  </si>
  <si>
    <t xml:space="preserve">Renforcer les mesures RH : vérification des candidats, clauses de sécurité et de confidentialité dans les contrats, obligations après départ, processus disciplinaire.</t>
  </si>
  <si>
    <t xml:space="preserve">A.6.1 ; A.6.2 ; A.6.4 ; A.6.5 ; A.6.6</t>
  </si>
  <si>
    <t xml:space="preserve">RH / Juridique</t>
  </si>
  <si>
    <t xml:space="preserve">Modèles de contrat et procédures mis à jour</t>
  </si>
  <si>
    <t xml:space="preserve">T-33</t>
  </si>
  <si>
    <t xml:space="preserve">Compléter la protection des postes et des accès : filtrage web, contrôle des outils privilégiés, règles de télétravail, protection des postes hors site, séparation des tâches.</t>
  </si>
  <si>
    <t xml:space="preserve">A.8.23 ; A.8.18 ; A.6.7 ; A.7.9 ; A.5.3 ; A.5.15</t>
  </si>
  <si>
    <t xml:space="preserve">Règles appliquées aux postes et aux comptes d'administration</t>
  </si>
  <si>
    <t xml:space="preserve">T-34</t>
  </si>
  <si>
    <t xml:space="preserve">Intégrer la sécurité aux projets et aux développements : exigences de sécurité des applications, principes d'architecture, procédure d'installation de logiciels, plan des tests d'audit, gestion des vulnérabilités.</t>
  </si>
  <si>
    <t xml:space="preserve">A.5.8 ; A.8.26 ; A.8.27 ; A.8.19 ; A.8.34 ; A.8.8</t>
  </si>
  <si>
    <t xml:space="preserve">Exigences et procédure approuvées, check-list projet utilisée</t>
  </si>
  <si>
    <t xml:space="preserve">T-35</t>
  </si>
  <si>
    <t xml:space="preserve">Protéger les données : matrices d'accès aux données, prévention de fuite, suppression selon la conservation, cloisonnement réseau, gestion des supports et mise au rebut, bureau propre, restitution des actifs.</t>
  </si>
  <si>
    <t xml:space="preserve">A.8.3 ; A.8.12 ; A.8.22 ; A.7.7 ; A.7.10 ; A.7.14 ; A.5.11</t>
  </si>
  <si>
    <t xml:space="preserve">Règles publiées et contrôle par échantillon conforme</t>
  </si>
  <si>
    <t xml:space="preserve">Appliquer des mesures physiques proportionnées au siège : contrôle d'accès, surveillance, inventaire et maintenance des équipements réseau et des postes d'administration.</t>
  </si>
  <si>
    <t xml:space="preserve">A.7.1 ; A.7.2 ; A.7.3 ; A.7.4 ; A.7.8 ; A.7.13</t>
  </si>
  <si>
    <t xml:space="preserve">Mesures en place et revues annuellement</t>
  </si>
  <si>
    <t xml:space="preserve">Déclaration d'applicabilité (SoA) — ISO/IEC 27001:2022, Annexe A</t>
  </si>
  <si>
    <t xml:space="preserve">93 contrôles : décision proposée, justification, risques, écarts et actions liés, état de mise en œuvre estimé d'après le cas. À relire et valider avec les propriétaires de risques.</t>
  </si>
  <si>
    <t xml:space="preserve">Applicables :</t>
  </si>
  <si>
    <t xml:space="preserve">Non applicables :</t>
  </si>
  <si>
    <t xml:space="preserve">Non renseignés :</t>
  </si>
  <si>
    <t xml:space="preserve">Implémentés :</t>
  </si>
  <si>
    <t xml:space="preserve">Partiels :</t>
  </si>
  <si>
    <t xml:space="preserve">À planifier :</t>
  </si>
  <si>
    <t xml:space="preserve">ID</t>
  </si>
  <si>
    <t xml:space="preserve">Thème</t>
  </si>
  <si>
    <t xml:space="preserve">Intitulé du contrôle</t>
  </si>
  <si>
    <t xml:space="preserve">Applicable ? (Oui / Non)</t>
  </si>
  <si>
    <t xml:space="preserve">Justification</t>
  </si>
  <si>
    <t xml:space="preserve">Risque(s) lié(s)</t>
  </si>
  <si>
    <t xml:space="preserve">Mise en œuvre (estimée)</t>
  </si>
  <si>
    <t xml:space="preserve">Preuve / document attendu</t>
  </si>
  <si>
    <t xml:space="preserve">5.1</t>
  </si>
  <si>
    <t xml:space="preserve">Organisationnelles</t>
  </si>
  <si>
    <t xml:space="preserve">Politiques de sécurité de l'information</t>
  </si>
  <si>
    <t xml:space="preserve">Oui</t>
  </si>
  <si>
    <t xml:space="preserve">Exigence de la clause 5.2 ; politiques partiellement à jour (GOV-06).</t>
  </si>
  <si>
    <t xml:space="preserve">GOV-06</t>
  </si>
  <si>
    <t xml:space="preserve">Partielle</t>
  </si>
  <si>
    <t xml:space="preserve">Politique générale de sécurité, historique des versions</t>
  </si>
  <si>
    <t xml:space="preserve">5.2</t>
  </si>
  <si>
    <t xml:space="preserve">Fonctions et responsabilités liées à la sécurité de l'information</t>
  </si>
  <si>
    <t xml:space="preserve">Rôles du SMSI non formalisés (GOV-01, GOV-03).</t>
  </si>
  <si>
    <t xml:space="preserve">GOV-01 ; GOV-03</t>
  </si>
  <si>
    <t xml:space="preserve">Matrice RACI approuvée</t>
  </si>
  <si>
    <t xml:space="preserve">5.3</t>
  </si>
  <si>
    <t xml:space="preserve">Séparation des tâches</t>
  </si>
  <si>
    <t xml:space="preserve">Rôles transverses d'administrateurs entre environnements (IAM-03).</t>
  </si>
  <si>
    <t xml:space="preserve">IAM-03</t>
  </si>
  <si>
    <t xml:space="preserve">Export des rôles Azure, règles de séparation des tâches</t>
  </si>
  <si>
    <t xml:space="preserve">5.4</t>
  </si>
  <si>
    <t xml:space="preserve">Responsabilités de la direction</t>
  </si>
  <si>
    <t xml:space="preserve">Comité Cyber &amp; Risques irrégulier, suivi des décisions dispersé (GOV-02).</t>
  </si>
  <si>
    <t xml:space="preserve">GOV-01 ; GOV-02</t>
  </si>
  <si>
    <t xml:space="preserve">T-26 ; T-27</t>
  </si>
  <si>
    <t xml:space="preserve">Comptes rendus du comité, registre des décisions</t>
  </si>
  <si>
    <t xml:space="preserve">5.5</t>
  </si>
  <si>
    <t xml:space="preserve">Contacts avec les autorités</t>
  </si>
  <si>
    <t xml:space="preserve">Établissement de paiement soumis à la BCT, à l'INPDP et à l'ANCS (§11) : contacts utiles pour notifier un incident.</t>
  </si>
  <si>
    <t xml:space="preserve">Liste des contacts autorités, procédure de notification</t>
  </si>
  <si>
    <t xml:space="preserve">5.6</t>
  </si>
  <si>
    <t xml:space="preserve">Contacts avec des groupes d'intérêt spécifiques</t>
  </si>
  <si>
    <t xml:space="preserve">Les échanges avec des groupes sectoriels ou des CERT soutiennent la détection (R-02).</t>
  </si>
  <si>
    <t xml:space="preserve">Participation à des groupes d'échange</t>
  </si>
  <si>
    <t xml:space="preserve">5.7</t>
  </si>
  <si>
    <t xml:space="preserve">Renseignement sur les menaces</t>
  </si>
  <si>
    <t xml:space="preserve">Defender XDR et Sentinel produisent des alertes ; le renseignement sur les menaces est à structurer pour la détection (R-02).</t>
  </si>
  <si>
    <t xml:space="preserve">Sources de renseignement utilisées, règles de détection associées</t>
  </si>
  <si>
    <t xml:space="preserve">5.8</t>
  </si>
  <si>
    <t xml:space="preserve">Sécurité de l'information dans la gestion de projet</t>
  </si>
  <si>
    <t xml:space="preserve">Des migrations (Kubernetes) ont laissé des écarts de supervision et des droits hérités (SOC-04, IAM-03).</t>
  </si>
  <si>
    <t xml:space="preserve">R-01 ; R-02</t>
  </si>
  <si>
    <t xml:space="preserve">Check-list de sécurité des projets</t>
  </si>
  <si>
    <t xml:space="preserve">5.9</t>
  </si>
  <si>
    <t xml:space="preserve">Inventaire des informations et autres actifs associés</t>
  </si>
  <si>
    <t xml:space="preserve">Inventaire des actifs informationnels non consolidé (ACT-01).</t>
  </si>
  <si>
    <t xml:space="preserve">ACT-01</t>
  </si>
  <si>
    <t xml:space="preserve">CMDB, inventaire des actifs informationnels</t>
  </si>
  <si>
    <t xml:space="preserve">5.10</t>
  </si>
  <si>
    <t xml:space="preserve">Utilisation correcte des informations et autres actifs associés</t>
  </si>
  <si>
    <t xml:space="preserve">Politique d'usage acceptable publiée (§12) ; application à vérifier.</t>
  </si>
  <si>
    <t xml:space="preserve">Implémentée</t>
  </si>
  <si>
    <t xml:space="preserve">Politique d'usage acceptable, preuves de lecture</t>
  </si>
  <si>
    <t xml:space="preserve">5.11</t>
  </si>
  <si>
    <t xml:space="preserve">Restitution des actifs</t>
  </si>
  <si>
    <t xml:space="preserve">Restitution des actifs et des accès à la fin d'un contrat ou d'une mission (IAM-09).</t>
  </si>
  <si>
    <t xml:space="preserve">Check-list de départ, tickets de départ</t>
  </si>
  <si>
    <t xml:space="preserve">5.12</t>
  </si>
  <si>
    <t xml:space="preserve">Classification des informations</t>
  </si>
  <si>
    <t xml:space="preserve">Classification à quatre niveaux non appliquée uniformément (ACT-02).</t>
  </si>
  <si>
    <t xml:space="preserve">ACT-02</t>
  </si>
  <si>
    <t xml:space="preserve">Politique de classification 2025, échantillon d'exports</t>
  </si>
  <si>
    <t xml:space="preserve">5.13</t>
  </si>
  <si>
    <t xml:space="preserve">Marquage des informations</t>
  </si>
  <si>
    <t xml:space="preserve">Marquage des exports et des documents partenaires incomplet (ACT-02).</t>
  </si>
  <si>
    <t xml:space="preserve">Exemples de documents marqués</t>
  </si>
  <si>
    <t xml:space="preserve">5.14</t>
  </si>
  <si>
    <t xml:space="preserve">Transfert des informations</t>
  </si>
  <si>
    <t xml:space="preserve">Échanges avec partenaires, banques et clients par exports et APIs (ACT-02).</t>
  </si>
  <si>
    <t xml:space="preserve">Règles de transfert, accords d'échange</t>
  </si>
  <si>
    <t xml:space="preserve">5.15</t>
  </si>
  <si>
    <t xml:space="preserve">Contrôle d'accès</t>
  </si>
  <si>
    <t xml:space="preserve">Contrôle par rôles (RBAC) et accès conditionnel en place, droits historiques accumulés (IAM-03).</t>
  </si>
  <si>
    <t xml:space="preserve">Politique d'accès, export RBAC</t>
  </si>
  <si>
    <t xml:space="preserve">5.16</t>
  </si>
  <si>
    <t xml:space="preserve">Gestion des identités</t>
  </si>
  <si>
    <t xml:space="preserve">Identités centralisées dans Entra ID ; mobilités et départs en partie manuels (IAM-01, IAM-09).</t>
  </si>
  <si>
    <t xml:space="preserve">R-01 ; R-03</t>
  </si>
  <si>
    <t xml:space="preserve">IAM-01 ; IAM-07 ; IAM-09</t>
  </si>
  <si>
    <t xml:space="preserve">Procédure JML, export Entra ID</t>
  </si>
  <si>
    <t xml:space="preserve">5.17</t>
  </si>
  <si>
    <t xml:space="preserve">Informations d'authentification</t>
  </si>
  <si>
    <t xml:space="preserve">Secrets statiques et rotation variable (IAM-07).</t>
  </si>
  <si>
    <t xml:space="preserve">IAM-06 ; IAM-07 ; DEV-04</t>
  </si>
  <si>
    <t xml:space="preserve">T-02 ; T-12</t>
  </si>
  <si>
    <t xml:space="preserve">Inventaire des secrets, dates de rotation</t>
  </si>
  <si>
    <t xml:space="preserve">5.18</t>
  </si>
  <si>
    <t xml:space="preserve">Droits d'accès</t>
  </si>
  <si>
    <t xml:space="preserve">Retrait des droits et revues d'accès hétérogènes (IAM-01, IAM-02).</t>
  </si>
  <si>
    <t xml:space="preserve">T-01 ; T-03 ; T-10 ; T-11</t>
  </si>
  <si>
    <t xml:space="preserve">Comptes rendus de revues d'accès</t>
  </si>
  <si>
    <t xml:space="preserve">5.19</t>
  </si>
  <si>
    <t xml:space="preserve">Sécurité de l'information dans les relations avec les fournisseurs</t>
  </si>
  <si>
    <t xml:space="preserve">Grille d'évaluation non appliquée aux fournisseurs historiques (FOU-01).</t>
  </si>
  <si>
    <t xml:space="preserve">FOU-01</t>
  </si>
  <si>
    <t xml:space="preserve">Grille d'évaluation, évaluations réalisées</t>
  </si>
  <si>
    <t xml:space="preserve">5.20</t>
  </si>
  <si>
    <t xml:space="preserve">La sécurité de l'information dans les accords conclus avec les fournisseurs</t>
  </si>
  <si>
    <t xml:space="preserve">Contrats anciens hétérogènes sur l'audit, la sortie et les sous-traitants (FOU-02, FOU-03).</t>
  </si>
  <si>
    <t xml:space="preserve">SOC-04 ; FOU-02 ; FOU-03</t>
  </si>
  <si>
    <t xml:space="preserve">T-08 ; T-20</t>
  </si>
  <si>
    <t xml:space="preserve">Contrats critiques, clauses types</t>
  </si>
  <si>
    <t xml:space="preserve">5.21</t>
  </si>
  <si>
    <t xml:space="preserve">Gestion de la sécurité de l'information dans la chaîne d'approvisionnement des TIC</t>
  </si>
  <si>
    <t xml:space="preserve">Dépendances logicielles et services TIC (DEV-03, FOU-04).</t>
  </si>
  <si>
    <t xml:space="preserve">R-08 ; R-06</t>
  </si>
  <si>
    <t xml:space="preserve">DEV-03 ; FOU-01 ; FOU-04</t>
  </si>
  <si>
    <t xml:space="preserve">Rapports SCA, liste des fournisseurs TIC</t>
  </si>
  <si>
    <t xml:space="preserve">5.22</t>
  </si>
  <si>
    <t xml:space="preserve">Surveillance, révision et gestion des changements des services fournisseurs</t>
  </si>
  <si>
    <t xml:space="preserve">Annexe du contrat MSSP non révisée (SOC-04).</t>
  </si>
  <si>
    <t xml:space="preserve">R-02 ; R-08</t>
  </si>
  <si>
    <t xml:space="preserve">SOC-04 ; FOU-02</t>
  </si>
  <si>
    <t xml:space="preserve">Revues de service des fournisseurs, SLA</t>
  </si>
  <si>
    <t xml:space="preserve">5.23</t>
  </si>
  <si>
    <t xml:space="preserve">Sécurité de l'information dans l'utilisation de services en nuage</t>
  </si>
  <si>
    <t xml:space="preserve">Azure est critique pour la production et l'IAM technique ; plan de sortie absent (§10, FOU-04).</t>
  </si>
  <si>
    <t xml:space="preserve">R-05 ; R-08</t>
  </si>
  <si>
    <t xml:space="preserve">CLD-02 ; FOU-02 ; FOU-04</t>
  </si>
  <si>
    <t xml:space="preserve">T-14 ; T-21</t>
  </si>
  <si>
    <t xml:space="preserve">Modèle de responsabilité partagée, plan de sortie</t>
  </si>
  <si>
    <t xml:space="preserve">5.24</t>
  </si>
  <si>
    <t xml:space="preserve">Planification et préparation de la gestion des incidents de sécurité de l'information</t>
  </si>
  <si>
    <t xml:space="preserve">Procédure de 2025 mais exercices irréguliers (SOC-05).</t>
  </si>
  <si>
    <t xml:space="preserve">SOC-05</t>
  </si>
  <si>
    <t xml:space="preserve">Procédure incidents, calendrier d'exercices</t>
  </si>
  <si>
    <t xml:space="preserve">5.25</t>
  </si>
  <si>
    <t xml:space="preserve">Évaluation des événements de sécurité de l'information et prise de décision</t>
  </si>
  <si>
    <t xml:space="preserve">Grille de priorités P1 à P3 et délais d'accusé définis (§8) ; efficacité à vérifier (SOC-03).</t>
  </si>
  <si>
    <t xml:space="preserve">SOC-03</t>
  </si>
  <si>
    <t xml:space="preserve">Grille P1 à P3, tickets d'incident</t>
  </si>
  <si>
    <t xml:space="preserve">5.26</t>
  </si>
  <si>
    <t xml:space="preserve">Réponse aux incidents de sécurité de l'information</t>
  </si>
  <si>
    <t xml:space="preserve">Incident du 3 sept. 2026 : blocage environ 1 h après l'accès (SOC-03).</t>
  </si>
  <si>
    <t xml:space="preserve">Rapport d'incident du 3 sept. 2026</t>
  </si>
  <si>
    <t xml:space="preserve">5.27</t>
  </si>
  <si>
    <t xml:space="preserve">Tirer des enseignements des incidents de sécurité de l'information</t>
  </si>
  <si>
    <t xml:space="preserve">Actions de l'exercice de nov. 2025 suivies de façon dispersée (GOV-04).</t>
  </si>
  <si>
    <t xml:space="preserve">R-02 ; R-11</t>
  </si>
  <si>
    <t xml:space="preserve">GOV-04 ; SOC-05</t>
  </si>
  <si>
    <t xml:space="preserve">Retours d'expérience, plan d'actions</t>
  </si>
  <si>
    <t xml:space="preserve">5.28</t>
  </si>
  <si>
    <t xml:space="preserve">Collecte de preuves</t>
  </si>
  <si>
    <t xml:space="preserve">Les investigations s'appuient sur les journaux (§13) ; procédure de préservation des preuves non mentionnée.</t>
  </si>
  <si>
    <t xml:space="preserve">Procédure de collecte et de conservation des preuves</t>
  </si>
  <si>
    <t xml:space="preserve">5.29</t>
  </si>
  <si>
    <t xml:space="preserve">Sécurité de l'information pendant une perturbation</t>
  </si>
  <si>
    <t xml:space="preserve">Maintien de la sécurité pendant une perturbation à démontrer (CON-01).</t>
  </si>
  <si>
    <t xml:space="preserve">CON-01</t>
  </si>
  <si>
    <t xml:space="preserve">PCA, PRA</t>
  </si>
  <si>
    <t xml:space="preserve">5.30</t>
  </si>
  <si>
    <t xml:space="preserve">Préparation des TIC pour la continuité d'activité</t>
  </si>
  <si>
    <t xml:space="preserve">RTO et RPO à valider, PRA testé de façon irrégulière (CON-02, CON-04).</t>
  </si>
  <si>
    <t xml:space="preserve">BIA, PRA, rapports de tests</t>
  </si>
  <si>
    <t xml:space="preserve">5.31</t>
  </si>
  <si>
    <t xml:space="preserve">Exigences légales, statutaires, réglementaires et contractuelles</t>
  </si>
  <si>
    <t xml:space="preserve">Applicabilité des textes à analyser, pas de registre (LEG-01).</t>
  </si>
  <si>
    <t xml:space="preserve">GOV-03 ; LEG-01 ; LEG-02 ; LEG-03</t>
  </si>
  <si>
    <t xml:space="preserve">Registre des exigences légales et contractuelles</t>
  </si>
  <si>
    <t xml:space="preserve">5.32</t>
  </si>
  <si>
    <t xml:space="preserve">Droits de propriété intellectuelle</t>
  </si>
  <si>
    <t xml:space="preserve">Développement logiciel avec des composants tiers : licences et droits à respecter.</t>
  </si>
  <si>
    <t xml:space="preserve">Inventaire des licences (SBOM)</t>
  </si>
  <si>
    <t xml:space="preserve">5.33</t>
  </si>
  <si>
    <t xml:space="preserve">Protection des enregistrements</t>
  </si>
  <si>
    <t xml:space="preserve">Journaux, contrats et preuves d'audit à protéger et conserver (§5).</t>
  </si>
  <si>
    <t xml:space="preserve">R-02 ; R-09</t>
  </si>
  <si>
    <t xml:space="preserve">Règles de conservation, droits d'accès aux enregistrements</t>
  </si>
  <si>
    <t xml:space="preserve">5.34</t>
  </si>
  <si>
    <t xml:space="preserve">Protection de la vie privée et des données à caractère personnel (DCP)</t>
  </si>
  <si>
    <t xml:space="preserve">Données KYC et loi 2004-63 ; transferts à analyser (LEG-02).</t>
  </si>
  <si>
    <t xml:space="preserve">LEG-02</t>
  </si>
  <si>
    <t xml:space="preserve">Registre des traitements, analyse du DPO</t>
  </si>
  <si>
    <t xml:space="preserve">5.35</t>
  </si>
  <si>
    <t xml:space="preserve">Révision indépendante de la sécurité de l'information</t>
  </si>
  <si>
    <t xml:space="preserve">Aucun audit interne ni revue indépendante mentionné (PIL-01).</t>
  </si>
  <si>
    <t xml:space="preserve">PIL-01</t>
  </si>
  <si>
    <t xml:space="preserve">Programme d'audit interne</t>
  </si>
  <si>
    <t xml:space="preserve">5.36</t>
  </si>
  <si>
    <t xml:space="preserve">Conformité aux politiques, règles et normes de sécurité de l'information</t>
  </si>
  <si>
    <t xml:space="preserve">Vérification de la conformité aux politiques et aux exigences (LEG-01, PIL-01).</t>
  </si>
  <si>
    <t xml:space="preserve">R-09 ; R-11</t>
  </si>
  <si>
    <t xml:space="preserve">LEG-01 ; LEG-03 ; PIL-01</t>
  </si>
  <si>
    <t xml:space="preserve">T-22 ; T-28</t>
  </si>
  <si>
    <t xml:space="preserve">Rapports de conformité</t>
  </si>
  <si>
    <t xml:space="preserve">5.37</t>
  </si>
  <si>
    <t xml:space="preserve">Procédures d'exploitation documentées</t>
  </si>
  <si>
    <t xml:space="preserve">Opérations manuelles d'administration et de maintenance (CLD-01).</t>
  </si>
  <si>
    <t xml:space="preserve">6.1</t>
  </si>
  <si>
    <t xml:space="preserve">Personnes</t>
  </si>
  <si>
    <t xml:space="preserve">Sélection des candidats</t>
  </si>
  <si>
    <t xml:space="preserve">Accès à des données financières et KYC (§5) : vérifications adaptées au rôle.</t>
  </si>
  <si>
    <t xml:space="preserve">Procédure de recrutement, vérifications effectuées</t>
  </si>
  <si>
    <t xml:space="preserve">6.2</t>
  </si>
  <si>
    <t xml:space="preserve">Termes et conditions du contrat de travail</t>
  </si>
  <si>
    <t xml:space="preserve">Engagements de sécurité à inscrire dans les contrats de travail.</t>
  </si>
  <si>
    <t xml:space="preserve">Modèle de contrat, charte informatique</t>
  </si>
  <si>
    <t xml:space="preserve">6.3</t>
  </si>
  <si>
    <t xml:space="preserve">Sensibilisation, enseignement et formation en sécurité de l'information</t>
  </si>
  <si>
    <t xml:space="preserve">Formation spécialisée irrégulière pour les rôles à privilèges (HUM-01).</t>
  </si>
  <si>
    <t xml:space="preserve">HUM-01</t>
  </si>
  <si>
    <t xml:space="preserve">Plan de formation, résultats des simulations de phishing</t>
  </si>
  <si>
    <t xml:space="preserve">6.4</t>
  </si>
  <si>
    <t xml:space="preserve">Processus disciplinaire</t>
  </si>
  <si>
    <t xml:space="preserve">Des sanctions doivent être prévues en cas de violation de la politique de sécurité.</t>
  </si>
  <si>
    <t xml:space="preserve">Règlement intérieur</t>
  </si>
  <si>
    <t xml:space="preserve">6.5</t>
  </si>
  <si>
    <t xml:space="preserve">Responsabilités après la fin ou le changement d'un emploi</t>
  </si>
  <si>
    <t xml:space="preserve">Obligations de confidentialité après un départ ou une fin de mission (IAM-09).</t>
  </si>
  <si>
    <t xml:space="preserve">Clauses post-contrat</t>
  </si>
  <si>
    <t xml:space="preserve">6.6</t>
  </si>
  <si>
    <t xml:space="preserve">Accords de confidentialité ou de non-divulgation</t>
  </si>
  <si>
    <t xml:space="preserve">Engagements de confidentialité demandés aux fournisseurs et aux clients (§10).</t>
  </si>
  <si>
    <t xml:space="preserve">R-08 ; R-10</t>
  </si>
  <si>
    <t xml:space="preserve">Modèles d'accords de confidentialité</t>
  </si>
  <si>
    <t xml:space="preserve">6.7</t>
  </si>
  <si>
    <t xml:space="preserve">Travail à distance</t>
  </si>
  <si>
    <t xml:space="preserve">Environ 25 % de télétravail, accès conditionnel appliqué aux connexions distantes (§1, §6).</t>
  </si>
  <si>
    <t xml:space="preserve">Politique de télétravail, accès conditionnel</t>
  </si>
  <si>
    <t xml:space="preserve">6.8</t>
  </si>
  <si>
    <t xml:space="preserve">Déclaration des événements de sécurité de l'information</t>
  </si>
  <si>
    <t xml:space="preserve">Le signalement rapide d'événements (phishing, demandes MFA inattendues) réduit le délai de détection (R-02).</t>
  </si>
  <si>
    <t xml:space="preserve">Canal de signalement, statistiques</t>
  </si>
  <si>
    <t xml:space="preserve">7.1</t>
  </si>
  <si>
    <t xml:space="preserve">Physiques</t>
  </si>
  <si>
    <t xml:space="preserve">Périmètres de sécurité physique</t>
  </si>
  <si>
    <t xml:space="preserve">Le siège héberge des équipements réseau et des postes d'administration (§4) ; mesures proportionnées.</t>
  </si>
  <si>
    <t xml:space="preserve">Plan des locaux, contrôle d'accès au siège</t>
  </si>
  <si>
    <t xml:space="preserve">7.2</t>
  </si>
  <si>
    <t xml:space="preserve">Les entrées physiques</t>
  </si>
  <si>
    <t xml:space="preserve">Accès aux locaux du siège contenant des équipements réseau et des postes d'administration (§4).</t>
  </si>
  <si>
    <t xml:space="preserve">Registre des accès, badges</t>
  </si>
  <si>
    <t xml:space="preserve">7.3</t>
  </si>
  <si>
    <t xml:space="preserve">Sécurisation des bureaux, des salles et des installations</t>
  </si>
  <si>
    <t xml:space="preserve">Bureaux et locaux techniques du siège (§4).</t>
  </si>
  <si>
    <t xml:space="preserve">Constat de sécurité des locaux</t>
  </si>
  <si>
    <t xml:space="preserve">7.4</t>
  </si>
  <si>
    <t xml:space="preserve">Surveillance de la sécurité physique</t>
  </si>
  <si>
    <t xml:space="preserve">Surveillance proportionnée des locaux du siège (§4).</t>
  </si>
  <si>
    <t xml:space="preserve">Dispositif de surveillance du siège</t>
  </si>
  <si>
    <t xml:space="preserve">7.5</t>
  </si>
  <si>
    <t xml:space="preserve">Protection contre les menaces physiques et environnementales</t>
  </si>
  <si>
    <t xml:space="preserve">Non</t>
  </si>
  <si>
    <t xml:space="preserve">Pas de centre de données de production au siège ; la protection de l'infrastructure de production relève de Microsoft Azure (§4), suivie par A.5.22 et A.5.23.</t>
  </si>
  <si>
    <t xml:space="preserve">Attestations d'assurance du fournisseur cloud</t>
  </si>
  <si>
    <t xml:space="preserve">7.6</t>
  </si>
  <si>
    <t xml:space="preserve">Travail dans les zones sécurisées</t>
  </si>
  <si>
    <t xml:space="preserve">Aucune zone sécurisée de production au siège (§4) ; à réexaminer si une salle serveurs est identifiée.</t>
  </si>
  <si>
    <t xml:space="preserve">7.7</t>
  </si>
  <si>
    <t xml:space="preserve">Bureau propre et écran vide</t>
  </si>
  <si>
    <t xml:space="preserve">Postes du siège et en télétravail manipulant des données sensibles (R-10).</t>
  </si>
  <si>
    <t xml:space="preserve">Règles de bureau propre et d'écran verrouillé</t>
  </si>
  <si>
    <t xml:space="preserve">7.8</t>
  </si>
  <si>
    <t xml:space="preserve">Emplacement et protection du matériel</t>
  </si>
  <si>
    <t xml:space="preserve">Équipements réseau et postes d'administration du siège (§4).</t>
  </si>
  <si>
    <t xml:space="preserve">Inventaire et emplacement des équipements</t>
  </si>
  <si>
    <t xml:space="preserve">7.9</t>
  </si>
  <si>
    <t xml:space="preserve">Sécurité des actifs hors des locaux</t>
  </si>
  <si>
    <t xml:space="preserve">Télétravail et postes portables (§1).</t>
  </si>
  <si>
    <t xml:space="preserve">R-12 ; R-01</t>
  </si>
  <si>
    <t xml:space="preserve">Politique de protection des postes hors site</t>
  </si>
  <si>
    <t xml:space="preserve">7.10</t>
  </si>
  <si>
    <t xml:space="preserve">Supports de stockage</t>
  </si>
  <si>
    <t xml:space="preserve">Exports et supports pouvant contenir des données classifiées (ACT-02).</t>
  </si>
  <si>
    <t xml:space="preserve">Règles de gestion des supports</t>
  </si>
  <si>
    <t xml:space="preserve">7.11</t>
  </si>
  <si>
    <t xml:space="preserve">Services supports</t>
  </si>
  <si>
    <t xml:space="preserve">Pas de centre de données au siège ; l'alimentation des environnements de production est gérée par Azure (§4).</t>
  </si>
  <si>
    <t xml:space="preserve">7.12</t>
  </si>
  <si>
    <t xml:space="preserve">Sécurité du câblage</t>
  </si>
  <si>
    <t xml:space="preserve">Câblage de bureau standard sans enjeu identifié ; pas de câblage de centre de données au siège (§4). Hypothèse à confirmer.</t>
  </si>
  <si>
    <t xml:space="preserve">7.13</t>
  </si>
  <si>
    <t xml:space="preserve">Maintenance du matériel</t>
  </si>
  <si>
    <t xml:space="preserve">Maintien en condition des équipements réseau et des postes d'administration (§4).</t>
  </si>
  <si>
    <t xml:space="preserve">Contrats et suivi de maintenance</t>
  </si>
  <si>
    <t xml:space="preserve">7.14</t>
  </si>
  <si>
    <t xml:space="preserve">Élimination ou recyclage sécurisé du matériel</t>
  </si>
  <si>
    <t xml:space="preserve">Postes et supports contenant des données à effacer avant mise au rebut (R-10).</t>
  </si>
  <si>
    <t xml:space="preserve">Procédure d'effacement et de mise au rebut</t>
  </si>
  <si>
    <t xml:space="preserve">8.1</t>
  </si>
  <si>
    <t xml:space="preserve">Technologiques</t>
  </si>
  <si>
    <t xml:space="preserve">Terminaux finaux des utilisateurs</t>
  </si>
  <si>
    <t xml:space="preserve">EDR déployé sur les postes (§4) ; télétravail (§1).</t>
  </si>
  <si>
    <t xml:space="preserve">Rapport Defender Endpoint, politique de conformité des postes</t>
  </si>
  <si>
    <t xml:space="preserve">8.2</t>
  </si>
  <si>
    <t xml:space="preserve">Droits d'accès privilégiés</t>
  </si>
  <si>
    <t xml:space="preserve">PAM en pilote, droits privilégiés permanents (IAM-03, IAM-04).</t>
  </si>
  <si>
    <t xml:space="preserve">IAM-03 ; IAM-04</t>
  </si>
  <si>
    <t xml:space="preserve">T-01 ; T-04</t>
  </si>
  <si>
    <t xml:space="preserve">Export des rôles privilégiés, périmètre du PAM</t>
  </si>
  <si>
    <t xml:space="preserve">8.3</t>
  </si>
  <si>
    <t xml:space="preserve">Restriction d'accès aux informations</t>
  </si>
  <si>
    <t xml:space="preserve">Données KYC et de transaction à accès restreint (§5) ; conteneur mal configuré (CLD-02).</t>
  </si>
  <si>
    <t xml:space="preserve">R-05 ; R-10</t>
  </si>
  <si>
    <t xml:space="preserve">CLD-02</t>
  </si>
  <si>
    <t xml:space="preserve">Matrices d'accès aux données</t>
  </si>
  <si>
    <t xml:space="preserve">8.4</t>
  </si>
  <si>
    <t xml:space="preserve">Accès aux codes source</t>
  </si>
  <si>
    <t xml:space="preserve">Dépôts GitLab et secrets historiques (DEV-04).</t>
  </si>
  <si>
    <t xml:space="preserve">R-04 ; R-06</t>
  </si>
  <si>
    <t xml:space="preserve">DEV-04</t>
  </si>
  <si>
    <t xml:space="preserve">Droits GitLab, règles de revue de code</t>
  </si>
  <si>
    <t xml:space="preserve">8.5</t>
  </si>
  <si>
    <t xml:space="preserve">Authentification sécurisée</t>
  </si>
  <si>
    <t xml:space="preserve">MFA à environ 94 % des comptes, fatigue MFA (IAM-05, IAM-06).</t>
  </si>
  <si>
    <t xml:space="preserve">IAM-05 ; IAM-06</t>
  </si>
  <si>
    <t xml:space="preserve">Politiques d'accès conditionnel, méthodes MFA autorisées</t>
  </si>
  <si>
    <t xml:space="preserve">8.6</t>
  </si>
  <si>
    <t xml:space="preserve">Dimensionnement</t>
  </si>
  <si>
    <t xml:space="preserve">Objectif de disponibilité de 99,95 % et montée en charge sur AKS (§1, §4).</t>
  </si>
  <si>
    <t xml:space="preserve">Supervision de capacité, règles d'autoscaling</t>
  </si>
  <si>
    <t xml:space="preserve">8.7</t>
  </si>
  <si>
    <t xml:space="preserve">Protection contre les programmes malveillants (malware)</t>
  </si>
  <si>
    <t xml:space="preserve">Protection des postes par Defender (§4).</t>
  </si>
  <si>
    <t xml:space="preserve">Rapports de détection de malware</t>
  </si>
  <si>
    <t xml:space="preserve">8.8</t>
  </si>
  <si>
    <t xml:space="preserve">Gestion des vulnérabilités techniques</t>
  </si>
  <si>
    <t xml:space="preserve">Analyse des dépendances sur les principaux projets seulement (DEV-03).</t>
  </si>
  <si>
    <t xml:space="preserve">DEV-03</t>
  </si>
  <si>
    <t xml:space="preserve">Rapports SCA, délais de correction</t>
  </si>
  <si>
    <t xml:space="preserve">8.9</t>
  </si>
  <si>
    <t xml:space="preserve">Gestion des configurations</t>
  </si>
  <si>
    <t xml:space="preserve">Ressources hors IaC (CLD-01) et conteneur mal configuré (CLD-02).</t>
  </si>
  <si>
    <t xml:space="preserve">Standards de configuration, Azure Policy</t>
  </si>
  <si>
    <t xml:space="preserve">8.10</t>
  </si>
  <si>
    <t xml:space="preserve">Suppression des informations</t>
  </si>
  <si>
    <t xml:space="preserve">Données KYC et exports à supprimer selon une durée de conservation (R-09).</t>
  </si>
  <si>
    <t xml:space="preserve">R-09 ; R-10</t>
  </si>
  <si>
    <t xml:space="preserve">Règles de rétention et de suppression</t>
  </si>
  <si>
    <t xml:space="preserve">8.11</t>
  </si>
  <si>
    <t xml:space="preserve">Masquage des données</t>
  </si>
  <si>
    <t xml:space="preserve">Jeux de données masqués issus de la production utilisés en test (CLD-03).</t>
  </si>
  <si>
    <t xml:space="preserve">CLD-03</t>
  </si>
  <si>
    <t xml:space="preserve">Procédure de masquage</t>
  </si>
  <si>
    <t xml:space="preserve">8.12</t>
  </si>
  <si>
    <t xml:space="preserve">Prévention de la fuite de données</t>
  </si>
  <si>
    <t xml:space="preserve">Exports de reporting et documents partenaires à protéger contre la fuite (ACT-02).</t>
  </si>
  <si>
    <t xml:space="preserve">Règles ou outils de prévention de fuite de données</t>
  </si>
  <si>
    <t xml:space="preserve">8.13</t>
  </si>
  <si>
    <t xml:space="preserve">Sauvegarde des informations</t>
  </si>
  <si>
    <t xml:space="preserve">Sauvegardes automatisées, restauration au-delà de l'objectif (CON-03).</t>
  </si>
  <si>
    <t xml:space="preserve">CON-03</t>
  </si>
  <si>
    <t xml:space="preserve">Rapports de tests de restauration</t>
  </si>
  <si>
    <t xml:space="preserve">8.14</t>
  </si>
  <si>
    <t xml:space="preserve">Redondance des moyens de traitement de l'information</t>
  </si>
  <si>
    <t xml:space="preserve">Plusieurs zones de disponibilité et seconde région ; bascule non testée de bout en bout (CON-04).</t>
  </si>
  <si>
    <t xml:space="preserve">CON-04</t>
  </si>
  <si>
    <t xml:space="preserve">Architecture de reprise, rapports de bascule</t>
  </si>
  <si>
    <t xml:space="preserve">8.15</t>
  </si>
  <si>
    <t xml:space="preserve">Journalisation</t>
  </si>
  <si>
    <t xml:space="preserve">Journaux incomplets (SOC-01, IAM-08).</t>
  </si>
  <si>
    <t xml:space="preserve">IAM-08 ; SOC-01 ; SOC-02</t>
  </si>
  <si>
    <t xml:space="preserve">Matrice des sources de logs</t>
  </si>
  <si>
    <t xml:space="preserve">8.16</t>
  </si>
  <si>
    <t xml:space="preserve">Activités de surveillance</t>
  </si>
  <si>
    <t xml:space="preserve">Sentinel et SOC hybride ; détection tardive le 3 sept. 2026 (SOC-02, SOC-03).</t>
  </si>
  <si>
    <t xml:space="preserve">IAM-08 ; SOC-01 ; SOC-02 ; SOC-03</t>
  </si>
  <si>
    <t xml:space="preserve">T-06 ; T-07</t>
  </si>
  <si>
    <t xml:space="preserve">Règles de détection, rapports du MSSP</t>
  </si>
  <si>
    <t xml:space="preserve">8.17</t>
  </si>
  <si>
    <t xml:space="preserve">Synchronisation des horloges</t>
  </si>
  <si>
    <t xml:space="preserve">La corrélation des événements et la valeur probante des journaux dépendent d'horloges synchronisées (R-02).</t>
  </si>
  <si>
    <t xml:space="preserve">Configuration des sources de temps</t>
  </si>
  <si>
    <t xml:space="preserve">8.18</t>
  </si>
  <si>
    <t xml:space="preserve">Utilisation de programmes utilitaires à privilèges</t>
  </si>
  <si>
    <t xml:space="preserve">Outils d'administration à fort pouvoir sur Azure et Kubernetes (R-01).</t>
  </si>
  <si>
    <t xml:space="preserve">Liste et contrôle des outils privilégiés</t>
  </si>
  <si>
    <t xml:space="preserve">8.19</t>
  </si>
  <si>
    <t xml:space="preserve">Installation de logiciels sur des systèmes opérationnels</t>
  </si>
  <si>
    <t xml:space="preserve">Déploiements par CI/CD et quelques opérations manuelles (§4).</t>
  </si>
  <si>
    <t xml:space="preserve">Pipelines de déploiement, procédure d'installation</t>
  </si>
  <si>
    <t xml:space="preserve">8.20</t>
  </si>
  <si>
    <t xml:space="preserve">Sécurité des réseaux</t>
  </si>
  <si>
    <t xml:space="preserve">WAF, protection DDoS et Front Door en place (§4).</t>
  </si>
  <si>
    <t xml:space="preserve">Configuration WAF et DDoS</t>
  </si>
  <si>
    <t xml:space="preserve">8.21</t>
  </si>
  <si>
    <t xml:space="preserve">Sécurité des services réseau</t>
  </si>
  <si>
    <t xml:space="preserve">Services réseau cloud et API Management fournis par Azure (§4).</t>
  </si>
  <si>
    <t xml:space="preserve">Niveaux de service des services réseau</t>
  </si>
  <si>
    <t xml:space="preserve">8.22</t>
  </si>
  <si>
    <t xml:space="preserve">Cloisonnement des réseaux</t>
  </si>
  <si>
    <t xml:space="preserve">Environnements séparés en souscriptions distinctes (§4).</t>
  </si>
  <si>
    <t xml:space="preserve">Schéma réseau et souscriptions</t>
  </si>
  <si>
    <t xml:space="preserve">8.23</t>
  </si>
  <si>
    <t xml:space="preserve">Filtrage web</t>
  </si>
  <si>
    <t xml:space="preserve">Le filtrage des sites malveillants réduit le risque de phishing (R-01).</t>
  </si>
  <si>
    <t xml:space="preserve">Politique de filtrage web</t>
  </si>
  <si>
    <t xml:space="preserve">8.24</t>
  </si>
  <si>
    <t xml:space="preserve">Utilisation de la cryptographie</t>
  </si>
  <si>
    <t xml:space="preserve">TLS, stockage chiffré et Key Vault (§4) ; rotation variable (IAM-07).</t>
  </si>
  <si>
    <t xml:space="preserve">Règles de cryptographie, gestion des clés</t>
  </si>
  <si>
    <t xml:space="preserve">8.25</t>
  </si>
  <si>
    <t xml:space="preserve">Cycle de vie de développement sécurisé</t>
  </si>
  <si>
    <t xml:space="preserve">Contrôles de sécurité intégrés au développement mais non homogènes (DEV-01).</t>
  </si>
  <si>
    <t xml:space="preserve">DEV-01</t>
  </si>
  <si>
    <t xml:space="preserve">Politique de développement sécurisé</t>
  </si>
  <si>
    <t xml:space="preserve">8.26</t>
  </si>
  <si>
    <t xml:space="preserve">Exigences de sécurité des applications</t>
  </si>
  <si>
    <t xml:space="preserve">Exigences de sécurité des APIs de paiement exposées à Internet (§2).</t>
  </si>
  <si>
    <t xml:space="preserve">8.27</t>
  </si>
  <si>
    <t xml:space="preserve">Principes d'ingénierie et d'architecture des systèmes sécurisés</t>
  </si>
  <si>
    <t xml:space="preserve">Architecture Azure largement automatisée (§4) ; principes à formaliser.</t>
  </si>
  <si>
    <t xml:space="preserve">R-05 ; R-06</t>
  </si>
  <si>
    <t xml:space="preserve">Document d'architecture de sécurité</t>
  </si>
  <si>
    <t xml:space="preserve">8.28</t>
  </si>
  <si>
    <t xml:space="preserve">Codage sécurisé</t>
  </si>
  <si>
    <t xml:space="preserve">SAST sur environ 80 % des dépôts actifs (DEV-02).</t>
  </si>
  <si>
    <t xml:space="preserve">DEV-02 ; DEV-04</t>
  </si>
  <si>
    <t xml:space="preserve">T-13 ; T-16</t>
  </si>
  <si>
    <t xml:space="preserve">Règles de codage, résultats SAST</t>
  </si>
  <si>
    <t xml:space="preserve">8.29</t>
  </si>
  <si>
    <t xml:space="preserve">Tests de sécurité dans le développement et l'acceptation</t>
  </si>
  <si>
    <t xml:space="preserve">SAST, analyse des dépendances et DAST non uniformes (DEV-01 à DEV-03).</t>
  </si>
  <si>
    <t xml:space="preserve">DEV-01 ; DEV-02</t>
  </si>
  <si>
    <t xml:space="preserve">T-15 ; T-16</t>
  </si>
  <si>
    <t xml:space="preserve">Rapports de tests de sécurité</t>
  </si>
  <si>
    <t xml:space="preserve">8.30</t>
  </si>
  <si>
    <t xml:space="preserve">Développement externalisé</t>
  </si>
  <si>
    <t xml:space="preserve">Aucun développement externalisé n'est mentionné dans le cas ; à réexaminer si des prestataires interviennent sur le code.</t>
  </si>
  <si>
    <t xml:space="preserve">8.31</t>
  </si>
  <si>
    <t xml:space="preserve">Séparation des environnements de développement, de test et opérationnels</t>
  </si>
  <si>
    <t xml:space="preserve">Séparation logique des environnements et administrateurs transverses (CLD-03).</t>
  </si>
  <si>
    <t xml:space="preserve">Schéma des environnements, rôles d'administration</t>
  </si>
  <si>
    <t xml:space="preserve">8.32</t>
  </si>
  <si>
    <t xml:space="preserve">Gestion des changements</t>
  </si>
  <si>
    <t xml:space="preserve">Changements urgents documentés après coup (CLD-04).</t>
  </si>
  <si>
    <t xml:space="preserve">CLD-01 ; CLD-04 ; SOC-02</t>
  </si>
  <si>
    <t xml:space="preserve">T-07 ; T-17</t>
  </si>
  <si>
    <t xml:space="preserve">Procédure de changement, échantillon de tickets</t>
  </si>
  <si>
    <t xml:space="preserve">8.33</t>
  </si>
  <si>
    <t xml:space="preserve">Informations de test</t>
  </si>
  <si>
    <t xml:space="preserve">Données de test issues de la production (CLD-03).</t>
  </si>
  <si>
    <t xml:space="preserve">Règles sur les données de test</t>
  </si>
  <si>
    <t xml:space="preserve">8.34</t>
  </si>
  <si>
    <t xml:space="preserve">Protection des systèmes d'information pendant les tests d'audit</t>
  </si>
  <si>
    <t xml:space="preserve">Tests DAST et tests d'intrusion sur des APIs en production (§7).</t>
  </si>
  <si>
    <t xml:space="preserve">Procédure de planification des tests d'audit</t>
  </si>
  <si>
    <t xml:space="preserve">Indicateurs du SMSI (clause 9.1)</t>
  </si>
  <si>
    <t xml:space="preserve">Valeurs de départ tirées du cas quand elles existent. Les cibles sont des propositions à valider.</t>
  </si>
  <si>
    <t xml:space="preserve">Indicateur</t>
  </si>
  <si>
    <t xml:space="preserve">Objectif de sécurité lié</t>
  </si>
  <si>
    <t xml:space="preserve">Mode de calcul</t>
  </si>
  <si>
    <t xml:space="preserve">Source des données</t>
  </si>
  <si>
    <t xml:space="preserve">Fréquence</t>
  </si>
  <si>
    <t xml:space="preserve">Valeur de départ (cas)</t>
  </si>
  <si>
    <t xml:space="preserve">Cible (proposition)</t>
  </si>
  <si>
    <t xml:space="preserve">Valeur actuelle</t>
  </si>
  <si>
    <t xml:space="preserve">KPI-01</t>
  </si>
  <si>
    <t xml:space="preserve">Couverture MFA des comptes humains</t>
  </si>
  <si>
    <t xml:space="preserve">Maîtriser les identités et les accès</t>
  </si>
  <si>
    <t xml:space="preserve">Comptes humains avec MFA ÷ comptes humains actifs</t>
  </si>
  <si>
    <t xml:space="preserve">Export Entra ID</t>
  </si>
  <si>
    <t xml:space="preserve">Mensuelle</t>
  </si>
  <si>
    <t xml:space="preserve">≈ 94 % (§6)</t>
  </si>
  <si>
    <t xml:space="preserve">100 % hors exceptions documentées</t>
  </si>
  <si>
    <t xml:space="preserve">KPI-02</t>
  </si>
  <si>
    <t xml:space="preserve">Délai de désactivation d'un compte après départ ou fin de mission</t>
  </si>
  <si>
    <t xml:space="preserve">Date de désactivation − date de fin (jours)</t>
  </si>
  <si>
    <t xml:space="preserve">Tickets RH / journaux Entra ID</t>
  </si>
  <si>
    <t xml:space="preserve">11 jours pour un consultant (avril 2026, §6)</t>
  </si>
  <si>
    <t xml:space="preserve">≤ 1 jour</t>
  </si>
  <si>
    <t xml:space="preserve">KPI-03</t>
  </si>
  <si>
    <t xml:space="preserve">Revues d'accès réalisées dans les délais</t>
  </si>
  <si>
    <t xml:space="preserve">Revues faites à temps ÷ revues planifiées</t>
  </si>
  <si>
    <t xml:space="preserve">Comptes rendus de revues</t>
  </si>
  <si>
    <t xml:space="preserve">Semestrielle</t>
  </si>
  <si>
    <t xml:space="preserve">Non mesuré (semestrielle sur quelques systèmes, §6)</t>
  </si>
  <si>
    <t xml:space="preserve">100 % des systèmes critiques</t>
  </si>
  <si>
    <t xml:space="preserve">KPI-04</t>
  </si>
  <si>
    <t xml:space="preserve">Couverture des sources de logs critiques dans Sentinel</t>
  </si>
  <si>
    <t xml:space="preserve">Améliorer la couverture de supervision</t>
  </si>
  <si>
    <t xml:space="preserve">Sources critiques collectées ÷ sources critiques identifiées</t>
  </si>
  <si>
    <t xml:space="preserve">Inventaire des sources / Sentinel</t>
  </si>
  <si>
    <t xml:space="preserve">Trimestrielle</t>
  </si>
  <si>
    <t xml:space="preserve">Non mesurée (logs AKS, Entra ID avancés, admin Azure incomplets, §8)</t>
  </si>
  <si>
    <t xml:space="preserve">100 % des sources critiques</t>
  </si>
  <si>
    <t xml:space="preserve">KPI-05</t>
  </si>
  <si>
    <t xml:space="preserve">Délai entre accès malveillant et blocage lors d'un incident P1</t>
  </si>
  <si>
    <t xml:space="preserve">Améliorer la qualité de la réponse à incident</t>
  </si>
  <si>
    <t xml:space="preserve">Heure du blocage − heure de l'accès (minutes)</t>
  </si>
  <si>
    <t xml:space="preserve">Chronologie d'incident</t>
  </si>
  <si>
    <t xml:space="preserve">Par incident</t>
  </si>
  <si>
    <t xml:space="preserve">≈ 59 min (19:06 → 20:05, Figure 4, à vérifier)</t>
  </si>
  <si>
    <t xml:space="preserve">À fixer avec le MSSP (SLA P1)</t>
  </si>
  <si>
    <t xml:space="preserve">KPI-06</t>
  </si>
  <si>
    <t xml:space="preserve">Couverture SAST des dépôts actifs</t>
  </si>
  <si>
    <t xml:space="preserve">Sécuriser le cycle de développement</t>
  </si>
  <si>
    <t xml:space="preserve">Dépôts avec SAST ÷ dépôts actifs</t>
  </si>
  <si>
    <t xml:space="preserve">GitLab</t>
  </si>
  <si>
    <t xml:space="preserve">≈ 80 % (§7, estimé)</t>
  </si>
  <si>
    <t xml:space="preserve">100 %</t>
  </si>
  <si>
    <t xml:space="preserve">KPI-07</t>
  </si>
  <si>
    <t xml:space="preserve">Temps de restauration comparé au RTO</t>
  </si>
  <si>
    <t xml:space="preserve">Aligner continuité et PRA sur le besoin métier</t>
  </si>
  <si>
    <t xml:space="preserve">Durée mesurée ÷ RTO documenté</t>
  </si>
  <si>
    <t xml:space="preserve">À chaque test</t>
  </si>
  <si>
    <t xml:space="preserve">6 h 40 pour un objectif de 4 h (juin 2026, §9)</t>
  </si>
  <si>
    <t xml:space="preserve">≤ RTO</t>
  </si>
  <si>
    <t xml:space="preserve">KPI-08</t>
  </si>
  <si>
    <t xml:space="preserve">Fournisseurs critiques évalués</t>
  </si>
  <si>
    <t xml:space="preserve">Structurer la sécurité des fournisseurs</t>
  </si>
  <si>
    <t xml:space="preserve">Fournisseurs critiques évalués ÷ fournisseurs critiques</t>
  </si>
  <si>
    <t xml:space="preserve">Grille d'évaluation fournisseurs</t>
  </si>
  <si>
    <t xml:space="preserve">Annuelle</t>
  </si>
  <si>
    <t xml:space="preserve">Non mesuré (grille non appliquée aux historiques, §10)</t>
  </si>
  <si>
    <t xml:space="preserve">KPI-09</t>
  </si>
  <si>
    <t xml:space="preserve">Actions correctives closes dans les délais</t>
  </si>
  <si>
    <t xml:space="preserve">Amélioration continue</t>
  </si>
  <si>
    <t xml:space="preserve">Actions closes à l'échéance ÷ actions échues</t>
  </si>
  <si>
    <t xml:space="preserve">Registre des actions</t>
  </si>
  <si>
    <t xml:space="preserve">Non mesuré (plans d'action non clos, §9 et §12)</t>
  </si>
  <si>
    <t xml:space="preserve">À définir</t>
  </si>
  <si>
    <t xml:space="preserve">KPI-10</t>
  </si>
  <si>
    <t xml:space="preserve">Taux de clic et de signalement lors des simulations de phishing</t>
  </si>
  <si>
    <t xml:space="preserve">Sensibiliser le personnel</t>
  </si>
  <si>
    <t xml:space="preserve">Clics ÷ envois ; signalements ÷ envois</t>
  </si>
  <si>
    <t xml:space="preserve">Plateforme de simulation</t>
  </si>
  <si>
    <t xml:space="preserve">À chaque campagne</t>
  </si>
  <si>
    <t xml:space="preserve">Non communiqué dans le cas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</si>
</sst>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4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B2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B2A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  <fill>
      <patternFill patternType="solid">
        <fgColor rgb="FFFFF9C4"/>
        <bgColor rgb="FFFFF3CD"/>
      </patternFill>
    </fill>
    <fill>
      <patternFill patternType="solid">
        <fgColor rgb="FFF2C94C"/>
        <bgColor rgb="FFF4B6B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F4B6BC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 patternType="solid">
          <fgColor rgb="FF0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C94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4B6B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4B6BC"/>
      <rgbColor rgb="FF3366FF"/>
      <rgbColor rgb="FF33CCCC"/>
      <rgbColor rgb="FF99CC00"/>
      <rgbColor rgb="FFF2C94C"/>
      <rgbColor rgb="FFFF9900"/>
      <rgbColor rgb="FFFF6600"/>
      <rgbColor rgb="FF555555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6.2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46.25" hidden="false" customHeight="false" outlineLevel="0" collapsed="false">
      <c r="A6" s="3" t="s">
        <v>6</v>
      </c>
      <c r="B6" s="4" t="s">
        <v>7</v>
      </c>
    </row>
    <row r="7" customFormat="false" ht="35.0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5" t="s">
        <v>12</v>
      </c>
    </row>
    <row r="2" customFormat="false" ht="15" hidden="false" customHeight="false" outlineLevel="0" collapsed="false">
      <c r="A2" s="6" t="s">
        <v>13</v>
      </c>
    </row>
    <row r="4" customFormat="false" ht="15" hidden="false" customHeight="false" outlineLevel="0" collapsed="false">
      <c r="A4" s="7" t="s">
        <v>14</v>
      </c>
    </row>
    <row r="5" customFormat="false" ht="39.75" hidden="false" customHeight="true" outlineLevel="0" collapsed="false">
      <c r="A5" s="8" t="s">
        <v>15</v>
      </c>
      <c r="B5" s="8" t="s">
        <v>16</v>
      </c>
      <c r="C5" s="8" t="s">
        <v>17</v>
      </c>
    </row>
    <row r="6" customFormat="false" ht="15" hidden="false" customHeight="false" outlineLevel="0" collapsed="false">
      <c r="A6" s="9" t="n">
        <v>1</v>
      </c>
      <c r="B6" s="10" t="s">
        <v>18</v>
      </c>
      <c r="C6" s="10" t="s">
        <v>19</v>
      </c>
    </row>
    <row r="7" customFormat="false" ht="15" hidden="false" customHeight="false" outlineLevel="0" collapsed="false">
      <c r="A7" s="9" t="n">
        <v>2</v>
      </c>
      <c r="B7" s="10" t="s">
        <v>20</v>
      </c>
      <c r="C7" s="10" t="s">
        <v>21</v>
      </c>
    </row>
    <row r="8" customFormat="false" ht="15" hidden="false" customHeight="false" outlineLevel="0" collapsed="false">
      <c r="A8" s="9" t="n">
        <v>3</v>
      </c>
      <c r="B8" s="10" t="s">
        <v>22</v>
      </c>
      <c r="C8" s="10" t="s">
        <v>23</v>
      </c>
    </row>
    <row r="9" customFormat="false" ht="15" hidden="false" customHeight="false" outlineLevel="0" collapsed="false">
      <c r="A9" s="9" t="n">
        <v>4</v>
      </c>
      <c r="B9" s="10" t="s">
        <v>24</v>
      </c>
      <c r="C9" s="10" t="s">
        <v>25</v>
      </c>
    </row>
    <row r="11" customFormat="false" ht="15" hidden="false" customHeight="false" outlineLevel="0" collapsed="false">
      <c r="A11" s="7" t="s">
        <v>26</v>
      </c>
    </row>
    <row r="12" customFormat="false" ht="39.75" hidden="false" customHeight="true" outlineLevel="0" collapsed="false">
      <c r="A12" s="8" t="s">
        <v>15</v>
      </c>
      <c r="B12" s="8" t="s">
        <v>16</v>
      </c>
      <c r="C12" s="8" t="s">
        <v>17</v>
      </c>
    </row>
    <row r="13" customFormat="false" ht="15" hidden="false" customHeight="false" outlineLevel="0" collapsed="false">
      <c r="A13" s="9" t="n">
        <v>1</v>
      </c>
      <c r="B13" s="10" t="s">
        <v>27</v>
      </c>
      <c r="C13" s="10" t="s">
        <v>28</v>
      </c>
    </row>
    <row r="14" customFormat="false" ht="15" hidden="false" customHeight="false" outlineLevel="0" collapsed="false">
      <c r="A14" s="9" t="n">
        <v>2</v>
      </c>
      <c r="B14" s="10" t="s">
        <v>29</v>
      </c>
      <c r="C14" s="10" t="s">
        <v>30</v>
      </c>
    </row>
    <row r="15" customFormat="false" ht="23.85" hidden="false" customHeight="false" outlineLevel="0" collapsed="false">
      <c r="A15" s="9" t="n">
        <v>3</v>
      </c>
      <c r="B15" s="10" t="s">
        <v>31</v>
      </c>
      <c r="C15" s="10" t="s">
        <v>32</v>
      </c>
    </row>
    <row r="16" customFormat="false" ht="23.85" hidden="false" customHeight="false" outlineLevel="0" collapsed="false">
      <c r="A16" s="9" t="n">
        <v>4</v>
      </c>
      <c r="B16" s="10" t="s">
        <v>33</v>
      </c>
      <c r="C16" s="10" t="s">
        <v>34</v>
      </c>
    </row>
    <row r="18" customFormat="false" ht="15" hidden="false" customHeight="false" outlineLevel="0" collapsed="false">
      <c r="A18" s="7" t="s">
        <v>35</v>
      </c>
    </row>
    <row r="19" customFormat="false" ht="39.75" hidden="false" customHeight="true" outlineLevel="0" collapsed="false">
      <c r="A19" s="8" t="s">
        <v>36</v>
      </c>
      <c r="B19" s="8" t="n">
        <v>1</v>
      </c>
      <c r="C19" s="8" t="n">
        <v>2</v>
      </c>
      <c r="D19" s="8" t="n">
        <v>3</v>
      </c>
      <c r="E19" s="8" t="n">
        <v>4</v>
      </c>
    </row>
    <row r="20" customFormat="false" ht="15" hidden="false" customHeight="false" outlineLevel="0" collapsed="false">
      <c r="A20" s="11" t="n">
        <v>1</v>
      </c>
      <c r="B20" s="12" t="n">
        <f aca="false">$A20*B$19</f>
        <v>1</v>
      </c>
      <c r="C20" s="12" t="n">
        <f aca="false">$A20*C$19</f>
        <v>2</v>
      </c>
      <c r="D20" s="12" t="n">
        <f aca="false">$A20*D$19</f>
        <v>3</v>
      </c>
      <c r="E20" s="12" t="n">
        <f aca="false">$A20*E$19</f>
        <v>4</v>
      </c>
    </row>
    <row r="21" customFormat="false" ht="15" hidden="false" customHeight="false" outlineLevel="0" collapsed="false">
      <c r="A21" s="11" t="n">
        <v>2</v>
      </c>
      <c r="B21" s="12" t="n">
        <f aca="false">$A21*B$19</f>
        <v>2</v>
      </c>
      <c r="C21" s="12" t="n">
        <f aca="false">$A21*C$19</f>
        <v>4</v>
      </c>
      <c r="D21" s="12" t="n">
        <f aca="false">$A21*D$19</f>
        <v>6</v>
      </c>
      <c r="E21" s="12" t="n">
        <f aca="false">$A21*E$19</f>
        <v>8</v>
      </c>
    </row>
    <row r="22" customFormat="false" ht="15" hidden="false" customHeight="false" outlineLevel="0" collapsed="false">
      <c r="A22" s="11" t="n">
        <v>3</v>
      </c>
      <c r="B22" s="12" t="n">
        <f aca="false">$A22*B$19</f>
        <v>3</v>
      </c>
      <c r="C22" s="12" t="n">
        <f aca="false">$A22*C$19</f>
        <v>6</v>
      </c>
      <c r="D22" s="12" t="n">
        <f aca="false">$A22*D$19</f>
        <v>9</v>
      </c>
      <c r="E22" s="12" t="n">
        <f aca="false">$A22*E$19</f>
        <v>12</v>
      </c>
    </row>
    <row r="23" customFormat="false" ht="15" hidden="false" customHeight="false" outlineLevel="0" collapsed="false">
      <c r="A23" s="11" t="n">
        <v>4</v>
      </c>
      <c r="B23" s="12" t="n">
        <f aca="false">$A23*B$19</f>
        <v>4</v>
      </c>
      <c r="C23" s="12" t="n">
        <f aca="false">$A23*C$19</f>
        <v>8</v>
      </c>
      <c r="D23" s="12" t="n">
        <f aca="false">$A23*D$19</f>
        <v>12</v>
      </c>
      <c r="E23" s="12" t="n">
        <f aca="false">$A23*E$19</f>
        <v>16</v>
      </c>
    </row>
    <row r="25" customFormat="false" ht="15" hidden="false" customHeight="false" outlineLevel="0" collapsed="false">
      <c r="A25" s="7" t="s">
        <v>37</v>
      </c>
    </row>
    <row r="26" customFormat="false" ht="15" hidden="false" customHeight="true" outlineLevel="0" collapsed="false">
      <c r="A26" s="10" t="s">
        <v>38</v>
      </c>
      <c r="B26" s="10"/>
      <c r="C26" s="13" t="n">
        <v>12</v>
      </c>
    </row>
    <row r="27" customFormat="false" ht="15" hidden="false" customHeight="true" outlineLevel="0" collapsed="false">
      <c r="A27" s="10" t="s">
        <v>39</v>
      </c>
      <c r="B27" s="10"/>
      <c r="C27" s="13" t="n">
        <v>8</v>
      </c>
    </row>
    <row r="28" customFormat="false" ht="15" hidden="false" customHeight="true" outlineLevel="0" collapsed="false">
      <c r="A28" s="10" t="s">
        <v>40</v>
      </c>
      <c r="B28" s="10"/>
      <c r="C28" s="13" t="n">
        <v>4</v>
      </c>
    </row>
    <row r="29" customFormat="false" ht="15" hidden="false" customHeight="true" outlineLevel="0" collapsed="false">
      <c r="A29" s="10" t="s">
        <v>41</v>
      </c>
      <c r="B29" s="10"/>
      <c r="C29" s="13" t="n">
        <v>3</v>
      </c>
    </row>
    <row r="31" customFormat="false" ht="15" hidden="false" customHeight="false" outlineLevel="0" collapsed="false">
      <c r="A31" s="6" t="s">
        <v>42</v>
      </c>
    </row>
  </sheetData>
  <mergeCells count="4">
    <mergeCell ref="A26:B26"/>
    <mergeCell ref="A27:B27"/>
    <mergeCell ref="A28:B28"/>
    <mergeCell ref="A29:B29"/>
  </mergeCells>
  <conditionalFormatting sqref="B20:E23">
    <cfRule type="expression" priority="2" aboveAverage="0" equalAverage="0" bottom="0" percent="0" rank="0" text="" dxfId="0">
      <formula>B20&gt;=Méthode!$C$26</formula>
    </cfRule>
    <cfRule type="expression" priority="3" aboveAverage="0" equalAverage="0" bottom="0" percent="0" rank="0" text="" dxfId="1">
      <formula>AND(B20&gt;=Méthode!$C$27,B20&lt;Méthode!$C$26)</formula>
    </cfRule>
    <cfRule type="expression" priority="4" aboveAverage="0" equalAverage="0" bottom="0" percent="0" rank="0" text="" dxfId="2">
      <formula>AND(B20&gt;=Méthode!$C$28,B20&lt;Méthode!$C$27)</formula>
    </cfRule>
    <cfRule type="expression" priority="5" aboveAverage="0" equalAverage="0" bottom="0" percent="0" rank="0" text="" dxfId="3">
      <formula>B20&lt;Méthode!$C$28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6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13"/>
  </cols>
  <sheetData>
    <row r="1" customFormat="false" ht="17.35" hidden="false" customHeight="false" outlineLevel="0" collapsed="false">
      <c r="A1" s="5" t="s">
        <v>43</v>
      </c>
    </row>
    <row r="2" customFormat="false" ht="15" hidden="false" customHeight="false" outlineLevel="0" collapsed="false">
      <c r="A2" s="6" t="s">
        <v>44</v>
      </c>
    </row>
    <row r="4" customFormat="false" ht="54" hidden="false" customHeight="true" outlineLevel="0" collapsed="false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14" t="s">
        <v>52</v>
      </c>
      <c r="I4" s="14" t="s">
        <v>53</v>
      </c>
      <c r="J4" s="14" t="s">
        <v>54</v>
      </c>
      <c r="K4" s="8" t="s">
        <v>55</v>
      </c>
      <c r="L4" s="8" t="s">
        <v>56</v>
      </c>
      <c r="M4" s="8" t="s">
        <v>57</v>
      </c>
      <c r="N4" s="14" t="s">
        <v>58</v>
      </c>
      <c r="O4" s="8" t="s">
        <v>59</v>
      </c>
      <c r="P4" s="14" t="s">
        <v>60</v>
      </c>
      <c r="Q4" s="14" t="s">
        <v>61</v>
      </c>
      <c r="R4" s="8" t="s">
        <v>62</v>
      </c>
      <c r="S4" s="8" t="s">
        <v>63</v>
      </c>
      <c r="T4" s="14" t="s">
        <v>64</v>
      </c>
      <c r="U4" s="14" t="s">
        <v>65</v>
      </c>
    </row>
    <row r="5" customFormat="false" ht="68.65" hidden="false" customHeight="false" outlineLevel="0" collapsed="false">
      <c r="A5" s="11" t="s">
        <v>66</v>
      </c>
      <c r="B5" s="10" t="s">
        <v>67</v>
      </c>
      <c r="C5" s="10" t="s">
        <v>68</v>
      </c>
      <c r="D5" s="10" t="s">
        <v>69</v>
      </c>
      <c r="E5" s="9" t="s">
        <v>70</v>
      </c>
      <c r="F5" s="10" t="s">
        <v>71</v>
      </c>
      <c r="G5" s="10" t="s">
        <v>72</v>
      </c>
      <c r="H5" s="15" t="n">
        <v>3</v>
      </c>
      <c r="I5" s="15" t="n">
        <v>4</v>
      </c>
      <c r="J5" s="16" t="s">
        <v>73</v>
      </c>
      <c r="K5" s="9" t="n">
        <f aca="false">IF(OR(H5="",I5=""),"",H5*I5)</f>
        <v>12</v>
      </c>
      <c r="L5" s="12" t="str">
        <f aca="false">IF(K5="","",IF(K5&gt;=Méthode!$C$26,"Critique",IF(K5&gt;=Méthode!$C$27,"Élevé",IF(K5&gt;=Méthode!$C$28,"Modéré","Faible"))))</f>
        <v>Critique</v>
      </c>
      <c r="M5" s="9" t="str">
        <f aca="false">IF(K5="","",IF(K5&lt;=Méthode!$C$29,"Acceptable","À traiter"))</f>
        <v>À traiter</v>
      </c>
      <c r="N5" s="15" t="s">
        <v>74</v>
      </c>
      <c r="O5" s="10" t="s">
        <v>75</v>
      </c>
      <c r="P5" s="15" t="n">
        <v>2</v>
      </c>
      <c r="Q5" s="15" t="n">
        <v>3</v>
      </c>
      <c r="R5" s="9" t="n">
        <f aca="false">IF(OR(P5="",Q5=""),"",P5*Q5)</f>
        <v>6</v>
      </c>
      <c r="S5" s="9" t="str">
        <f aca="false">IF(R5="","",IF(R5&gt;=Méthode!$C$26,"Critique",IF(R5&gt;=Méthode!$C$27,"Élevé",IF(R5&gt;=Méthode!$C$28,"Modéré","Faible"))))</f>
        <v>Modéré</v>
      </c>
      <c r="T5" s="16" t="s">
        <v>76</v>
      </c>
      <c r="U5" s="15" t="s">
        <v>77</v>
      </c>
    </row>
    <row r="6" customFormat="false" ht="79.85" hidden="false" customHeight="false" outlineLevel="0" collapsed="false">
      <c r="A6" s="11" t="s">
        <v>78</v>
      </c>
      <c r="B6" s="10" t="s">
        <v>79</v>
      </c>
      <c r="C6" s="10" t="s">
        <v>80</v>
      </c>
      <c r="D6" s="10" t="s">
        <v>81</v>
      </c>
      <c r="E6" s="9" t="s">
        <v>70</v>
      </c>
      <c r="F6" s="10" t="s">
        <v>71</v>
      </c>
      <c r="G6" s="10" t="s">
        <v>82</v>
      </c>
      <c r="H6" s="15" t="n">
        <v>3</v>
      </c>
      <c r="I6" s="15" t="n">
        <v>3</v>
      </c>
      <c r="J6" s="16" t="s">
        <v>83</v>
      </c>
      <c r="K6" s="9" t="n">
        <f aca="false">IF(OR(H6="",I6=""),"",H6*I6)</f>
        <v>9</v>
      </c>
      <c r="L6" s="12" t="str">
        <f aca="false">IF(K6="","",IF(K6&gt;=Méthode!$C$26,"Critique",IF(K6&gt;=Méthode!$C$27,"Élevé",IF(K6&gt;=Méthode!$C$28,"Modéré","Faible"))))</f>
        <v>Élevé</v>
      </c>
      <c r="M6" s="9" t="str">
        <f aca="false">IF(K6="","",IF(K6&lt;=Méthode!$C$29,"Acceptable","À traiter"))</f>
        <v>À traiter</v>
      </c>
      <c r="N6" s="15" t="s">
        <v>74</v>
      </c>
      <c r="O6" s="10" t="s">
        <v>84</v>
      </c>
      <c r="P6" s="15" t="n">
        <v>2</v>
      </c>
      <c r="Q6" s="15" t="n">
        <v>3</v>
      </c>
      <c r="R6" s="9" t="n">
        <f aca="false">IF(OR(P6="",Q6=""),"",P6*Q6)</f>
        <v>6</v>
      </c>
      <c r="S6" s="9" t="str">
        <f aca="false">IF(R6="","",IF(R6&gt;=Méthode!$C$26,"Critique",IF(R6&gt;=Méthode!$C$27,"Élevé",IF(R6&gt;=Méthode!$C$28,"Modéré","Faible"))))</f>
        <v>Modéré</v>
      </c>
      <c r="T6" s="16" t="s">
        <v>85</v>
      </c>
      <c r="U6" s="15" t="s">
        <v>77</v>
      </c>
    </row>
    <row r="7" customFormat="false" ht="68.65" hidden="false" customHeight="false" outlineLevel="0" collapsed="false">
      <c r="A7" s="11" t="s">
        <v>86</v>
      </c>
      <c r="B7" s="10" t="s">
        <v>87</v>
      </c>
      <c r="C7" s="10" t="s">
        <v>88</v>
      </c>
      <c r="D7" s="10" t="s">
        <v>89</v>
      </c>
      <c r="E7" s="9" t="s">
        <v>90</v>
      </c>
      <c r="F7" s="10" t="s">
        <v>71</v>
      </c>
      <c r="G7" s="10" t="s">
        <v>91</v>
      </c>
      <c r="H7" s="15" t="n">
        <v>3</v>
      </c>
      <c r="I7" s="15" t="n">
        <v>3</v>
      </c>
      <c r="J7" s="16" t="s">
        <v>92</v>
      </c>
      <c r="K7" s="9" t="n">
        <f aca="false">IF(OR(H7="",I7=""),"",H7*I7)</f>
        <v>9</v>
      </c>
      <c r="L7" s="12" t="str">
        <f aca="false">IF(K7="","",IF(K7&gt;=Méthode!$C$26,"Critique",IF(K7&gt;=Méthode!$C$27,"Élevé",IF(K7&gt;=Méthode!$C$28,"Modéré","Faible"))))</f>
        <v>Élevé</v>
      </c>
      <c r="M7" s="9" t="str">
        <f aca="false">IF(K7="","",IF(K7&lt;=Méthode!$C$29,"Acceptable","À traiter"))</f>
        <v>À traiter</v>
      </c>
      <c r="N7" s="15" t="s">
        <v>74</v>
      </c>
      <c r="O7" s="10" t="s">
        <v>93</v>
      </c>
      <c r="P7" s="15" t="n">
        <v>2</v>
      </c>
      <c r="Q7" s="15" t="n">
        <v>3</v>
      </c>
      <c r="R7" s="9" t="n">
        <f aca="false">IF(OR(P7="",Q7=""),"",P7*Q7)</f>
        <v>6</v>
      </c>
      <c r="S7" s="9" t="str">
        <f aca="false">IF(R7="","",IF(R7&gt;=Méthode!$C$26,"Critique",IF(R7&gt;=Méthode!$C$27,"Élevé",IF(R7&gt;=Méthode!$C$28,"Modéré","Faible"))))</f>
        <v>Modéré</v>
      </c>
      <c r="T7" s="16" t="s">
        <v>94</v>
      </c>
      <c r="U7" s="15" t="s">
        <v>77</v>
      </c>
    </row>
    <row r="8" customFormat="false" ht="79.85" hidden="false" customHeight="false" outlineLevel="0" collapsed="false">
      <c r="A8" s="11" t="s">
        <v>95</v>
      </c>
      <c r="B8" s="10" t="s">
        <v>96</v>
      </c>
      <c r="C8" s="10" t="s">
        <v>97</v>
      </c>
      <c r="D8" s="10" t="s">
        <v>98</v>
      </c>
      <c r="E8" s="9" t="s">
        <v>90</v>
      </c>
      <c r="F8" s="10" t="s">
        <v>99</v>
      </c>
      <c r="G8" s="10" t="s">
        <v>100</v>
      </c>
      <c r="H8" s="15" t="n">
        <v>2</v>
      </c>
      <c r="I8" s="15" t="n">
        <v>4</v>
      </c>
      <c r="J8" s="16" t="s">
        <v>101</v>
      </c>
      <c r="K8" s="9" t="n">
        <f aca="false">IF(OR(H8="",I8=""),"",H8*I8)</f>
        <v>8</v>
      </c>
      <c r="L8" s="12" t="str">
        <f aca="false">IF(K8="","",IF(K8&gt;=Méthode!$C$26,"Critique",IF(K8&gt;=Méthode!$C$27,"Élevé",IF(K8&gt;=Méthode!$C$28,"Modéré","Faible"))))</f>
        <v>Élevé</v>
      </c>
      <c r="M8" s="9" t="str">
        <f aca="false">IF(K8="","",IF(K8&lt;=Méthode!$C$29,"Acceptable","À traiter"))</f>
        <v>À traiter</v>
      </c>
      <c r="N8" s="15" t="s">
        <v>74</v>
      </c>
      <c r="O8" s="10" t="s">
        <v>102</v>
      </c>
      <c r="P8" s="15" t="n">
        <v>1</v>
      </c>
      <c r="Q8" s="15" t="n">
        <v>3</v>
      </c>
      <c r="R8" s="9" t="n">
        <f aca="false">IF(OR(P8="",Q8=""),"",P8*Q8)</f>
        <v>3</v>
      </c>
      <c r="S8" s="9" t="str">
        <f aca="false">IF(R8="","",IF(R8&gt;=Méthode!$C$26,"Critique",IF(R8&gt;=Méthode!$C$27,"Élevé",IF(R8&gt;=Méthode!$C$28,"Modéré","Faible"))))</f>
        <v>Faible</v>
      </c>
      <c r="T8" s="16" t="s">
        <v>103</v>
      </c>
      <c r="U8" s="15" t="s">
        <v>77</v>
      </c>
    </row>
    <row r="9" customFormat="false" ht="68.65" hidden="false" customHeight="false" outlineLevel="0" collapsed="false">
      <c r="A9" s="11" t="s">
        <v>104</v>
      </c>
      <c r="B9" s="10" t="s">
        <v>105</v>
      </c>
      <c r="C9" s="10" t="s">
        <v>106</v>
      </c>
      <c r="D9" s="10" t="s">
        <v>107</v>
      </c>
      <c r="E9" s="9" t="s">
        <v>90</v>
      </c>
      <c r="F9" s="10" t="s">
        <v>108</v>
      </c>
      <c r="G9" s="10" t="s">
        <v>109</v>
      </c>
      <c r="H9" s="15" t="n">
        <v>3</v>
      </c>
      <c r="I9" s="15" t="n">
        <v>3</v>
      </c>
      <c r="J9" s="16" t="s">
        <v>110</v>
      </c>
      <c r="K9" s="9" t="n">
        <f aca="false">IF(OR(H9="",I9=""),"",H9*I9)</f>
        <v>9</v>
      </c>
      <c r="L9" s="12" t="str">
        <f aca="false">IF(K9="","",IF(K9&gt;=Méthode!$C$26,"Critique",IF(K9&gt;=Méthode!$C$27,"Élevé",IF(K9&gt;=Méthode!$C$28,"Modéré","Faible"))))</f>
        <v>Élevé</v>
      </c>
      <c r="M9" s="9" t="str">
        <f aca="false">IF(K9="","",IF(K9&lt;=Méthode!$C$29,"Acceptable","À traiter"))</f>
        <v>À traiter</v>
      </c>
      <c r="N9" s="15" t="s">
        <v>74</v>
      </c>
      <c r="O9" s="10" t="s">
        <v>111</v>
      </c>
      <c r="P9" s="15" t="n">
        <v>2</v>
      </c>
      <c r="Q9" s="15" t="n">
        <v>3</v>
      </c>
      <c r="R9" s="9" t="n">
        <f aca="false">IF(OR(P9="",Q9=""),"",P9*Q9)</f>
        <v>6</v>
      </c>
      <c r="S9" s="9" t="str">
        <f aca="false">IF(R9="","",IF(R9&gt;=Méthode!$C$26,"Critique",IF(R9&gt;=Méthode!$C$27,"Élevé",IF(R9&gt;=Méthode!$C$28,"Modéré","Faible"))))</f>
        <v>Modéré</v>
      </c>
      <c r="T9" s="16" t="s">
        <v>112</v>
      </c>
      <c r="U9" s="15" t="s">
        <v>77</v>
      </c>
    </row>
    <row r="10" customFormat="false" ht="68.65" hidden="false" customHeight="false" outlineLevel="0" collapsed="false">
      <c r="A10" s="11" t="s">
        <v>113</v>
      </c>
      <c r="B10" s="10" t="s">
        <v>114</v>
      </c>
      <c r="C10" s="10" t="s">
        <v>115</v>
      </c>
      <c r="D10" s="10" t="s">
        <v>116</v>
      </c>
      <c r="E10" s="9" t="s">
        <v>70</v>
      </c>
      <c r="F10" s="10" t="s">
        <v>99</v>
      </c>
      <c r="G10" s="10" t="s">
        <v>117</v>
      </c>
      <c r="H10" s="15" t="n">
        <v>3</v>
      </c>
      <c r="I10" s="15" t="n">
        <v>3</v>
      </c>
      <c r="J10" s="16" t="s">
        <v>118</v>
      </c>
      <c r="K10" s="9" t="n">
        <f aca="false">IF(OR(H10="",I10=""),"",H10*I10)</f>
        <v>9</v>
      </c>
      <c r="L10" s="12" t="str">
        <f aca="false">IF(K10="","",IF(K10&gt;=Méthode!$C$26,"Critique",IF(K10&gt;=Méthode!$C$27,"Élevé",IF(K10&gt;=Méthode!$C$28,"Modéré","Faible"))))</f>
        <v>Élevé</v>
      </c>
      <c r="M10" s="9" t="str">
        <f aca="false">IF(K10="","",IF(K10&lt;=Méthode!$C$29,"Acceptable","À traiter"))</f>
        <v>À traiter</v>
      </c>
      <c r="N10" s="15" t="s">
        <v>74</v>
      </c>
      <c r="O10" s="10" t="s">
        <v>119</v>
      </c>
      <c r="P10" s="15" t="n">
        <v>2</v>
      </c>
      <c r="Q10" s="15" t="n">
        <v>3</v>
      </c>
      <c r="R10" s="9" t="n">
        <f aca="false">IF(OR(P10="",Q10=""),"",P10*Q10)</f>
        <v>6</v>
      </c>
      <c r="S10" s="9" t="str">
        <f aca="false">IF(R10="","",IF(R10&gt;=Méthode!$C$26,"Critique",IF(R10&gt;=Méthode!$C$27,"Élevé",IF(R10&gt;=Méthode!$C$28,"Modéré","Faible"))))</f>
        <v>Modéré</v>
      </c>
      <c r="T10" s="16" t="s">
        <v>120</v>
      </c>
      <c r="U10" s="15" t="s">
        <v>77</v>
      </c>
    </row>
    <row r="11" customFormat="false" ht="91" hidden="false" customHeight="false" outlineLevel="0" collapsed="false">
      <c r="A11" s="11" t="s">
        <v>121</v>
      </c>
      <c r="B11" s="10" t="s">
        <v>122</v>
      </c>
      <c r="C11" s="10" t="s">
        <v>123</v>
      </c>
      <c r="D11" s="10" t="s">
        <v>124</v>
      </c>
      <c r="E11" s="9" t="s">
        <v>125</v>
      </c>
      <c r="F11" s="10" t="s">
        <v>108</v>
      </c>
      <c r="G11" s="10" t="s">
        <v>126</v>
      </c>
      <c r="H11" s="15" t="n">
        <v>2</v>
      </c>
      <c r="I11" s="15" t="n">
        <v>4</v>
      </c>
      <c r="J11" s="16" t="s">
        <v>127</v>
      </c>
      <c r="K11" s="9" t="n">
        <f aca="false">IF(OR(H11="",I11=""),"",H11*I11)</f>
        <v>8</v>
      </c>
      <c r="L11" s="12" t="str">
        <f aca="false">IF(K11="","",IF(K11&gt;=Méthode!$C$26,"Critique",IF(K11&gt;=Méthode!$C$27,"Élevé",IF(K11&gt;=Méthode!$C$28,"Modéré","Faible"))))</f>
        <v>Élevé</v>
      </c>
      <c r="M11" s="9" t="str">
        <f aca="false">IF(K11="","",IF(K11&lt;=Méthode!$C$29,"Acceptable","À traiter"))</f>
        <v>À traiter</v>
      </c>
      <c r="N11" s="15" t="s">
        <v>74</v>
      </c>
      <c r="O11" s="10" t="s">
        <v>128</v>
      </c>
      <c r="P11" s="15" t="n">
        <v>2</v>
      </c>
      <c r="Q11" s="15" t="n">
        <v>3</v>
      </c>
      <c r="R11" s="9" t="n">
        <f aca="false">IF(OR(P11="",Q11=""),"",P11*Q11)</f>
        <v>6</v>
      </c>
      <c r="S11" s="9" t="str">
        <f aca="false">IF(R11="","",IF(R11&gt;=Méthode!$C$26,"Critique",IF(R11&gt;=Méthode!$C$27,"Élevé",IF(R11&gt;=Méthode!$C$28,"Modéré","Faible"))))</f>
        <v>Modéré</v>
      </c>
      <c r="T11" s="16" t="s">
        <v>129</v>
      </c>
      <c r="U11" s="15" t="s">
        <v>77</v>
      </c>
    </row>
    <row r="12" customFormat="false" ht="79.85" hidden="false" customHeight="false" outlineLevel="0" collapsed="false">
      <c r="A12" s="11" t="s">
        <v>130</v>
      </c>
      <c r="B12" s="10" t="s">
        <v>131</v>
      </c>
      <c r="C12" s="10" t="s">
        <v>132</v>
      </c>
      <c r="D12" s="10" t="s">
        <v>133</v>
      </c>
      <c r="E12" s="9" t="s">
        <v>70</v>
      </c>
      <c r="F12" s="10" t="s">
        <v>71</v>
      </c>
      <c r="G12" s="10" t="s">
        <v>134</v>
      </c>
      <c r="H12" s="15" t="n">
        <v>2</v>
      </c>
      <c r="I12" s="15" t="n">
        <v>4</v>
      </c>
      <c r="J12" s="16" t="s">
        <v>135</v>
      </c>
      <c r="K12" s="9" t="n">
        <f aca="false">IF(OR(H12="",I12=""),"",H12*I12)</f>
        <v>8</v>
      </c>
      <c r="L12" s="12" t="str">
        <f aca="false">IF(K12="","",IF(K12&gt;=Méthode!$C$26,"Critique",IF(K12&gt;=Méthode!$C$27,"Élevé",IF(K12&gt;=Méthode!$C$28,"Modéré","Faible"))))</f>
        <v>Élevé</v>
      </c>
      <c r="M12" s="9" t="str">
        <f aca="false">IF(K12="","",IF(K12&lt;=Méthode!$C$29,"Acceptable","À traiter"))</f>
        <v>À traiter</v>
      </c>
      <c r="N12" s="15" t="s">
        <v>74</v>
      </c>
      <c r="O12" s="10" t="s">
        <v>136</v>
      </c>
      <c r="P12" s="15" t="n">
        <v>2</v>
      </c>
      <c r="Q12" s="15" t="n">
        <v>3</v>
      </c>
      <c r="R12" s="9" t="n">
        <f aca="false">IF(OR(P12="",Q12=""),"",P12*Q12)</f>
        <v>6</v>
      </c>
      <c r="S12" s="9" t="str">
        <f aca="false">IF(R12="","",IF(R12&gt;=Méthode!$C$26,"Critique",IF(R12&gt;=Méthode!$C$27,"Élevé",IF(R12&gt;=Méthode!$C$28,"Modéré","Faible"))))</f>
        <v>Modéré</v>
      </c>
      <c r="T12" s="16" t="s">
        <v>137</v>
      </c>
      <c r="U12" s="15" t="s">
        <v>77</v>
      </c>
    </row>
    <row r="13" customFormat="false" ht="68.65" hidden="false" customHeight="false" outlineLevel="0" collapsed="false">
      <c r="A13" s="11" t="s">
        <v>138</v>
      </c>
      <c r="B13" s="10" t="s">
        <v>139</v>
      </c>
      <c r="C13" s="10" t="s">
        <v>140</v>
      </c>
      <c r="D13" s="10" t="s">
        <v>141</v>
      </c>
      <c r="E13" s="9" t="s">
        <v>90</v>
      </c>
      <c r="F13" s="10" t="s">
        <v>142</v>
      </c>
      <c r="G13" s="10" t="s">
        <v>143</v>
      </c>
      <c r="H13" s="15" t="n">
        <v>3</v>
      </c>
      <c r="I13" s="15" t="n">
        <v>3</v>
      </c>
      <c r="J13" s="16" t="s">
        <v>144</v>
      </c>
      <c r="K13" s="9" t="n">
        <f aca="false">IF(OR(H13="",I13=""),"",H13*I13)</f>
        <v>9</v>
      </c>
      <c r="L13" s="12" t="str">
        <f aca="false">IF(K13="","",IF(K13&gt;=Méthode!$C$26,"Critique",IF(K13&gt;=Méthode!$C$27,"Élevé",IF(K13&gt;=Méthode!$C$28,"Modéré","Faible"))))</f>
        <v>Élevé</v>
      </c>
      <c r="M13" s="9" t="str">
        <f aca="false">IF(K13="","",IF(K13&lt;=Méthode!$C$29,"Acceptable","À traiter"))</f>
        <v>À traiter</v>
      </c>
      <c r="N13" s="15" t="s">
        <v>74</v>
      </c>
      <c r="O13" s="10" t="s">
        <v>145</v>
      </c>
      <c r="P13" s="15" t="n">
        <v>1</v>
      </c>
      <c r="Q13" s="15" t="n">
        <v>3</v>
      </c>
      <c r="R13" s="9" t="n">
        <f aca="false">IF(OR(P13="",Q13=""),"",P13*Q13)</f>
        <v>3</v>
      </c>
      <c r="S13" s="9" t="str">
        <f aca="false">IF(R13="","",IF(R13&gt;=Méthode!$C$26,"Critique",IF(R13&gt;=Méthode!$C$27,"Élevé",IF(R13&gt;=Méthode!$C$28,"Modéré","Faible"))))</f>
        <v>Faible</v>
      </c>
      <c r="T13" s="16" t="s">
        <v>146</v>
      </c>
      <c r="U13" s="15" t="s">
        <v>77</v>
      </c>
    </row>
    <row r="14" customFormat="false" ht="79.85" hidden="false" customHeight="false" outlineLevel="0" collapsed="false">
      <c r="A14" s="11" t="s">
        <v>147</v>
      </c>
      <c r="B14" s="10" t="s">
        <v>148</v>
      </c>
      <c r="C14" s="10" t="s">
        <v>149</v>
      </c>
      <c r="D14" s="10" t="s">
        <v>150</v>
      </c>
      <c r="E14" s="9" t="s">
        <v>151</v>
      </c>
      <c r="F14" s="10" t="s">
        <v>71</v>
      </c>
      <c r="G14" s="10" t="s">
        <v>152</v>
      </c>
      <c r="H14" s="15" t="n">
        <v>3</v>
      </c>
      <c r="I14" s="15" t="n">
        <v>3</v>
      </c>
      <c r="J14" s="16" t="s">
        <v>153</v>
      </c>
      <c r="K14" s="9" t="n">
        <f aca="false">IF(OR(H14="",I14=""),"",H14*I14)</f>
        <v>9</v>
      </c>
      <c r="L14" s="12" t="str">
        <f aca="false">IF(K14="","",IF(K14&gt;=Méthode!$C$26,"Critique",IF(K14&gt;=Méthode!$C$27,"Élevé",IF(K14&gt;=Méthode!$C$28,"Modéré","Faible"))))</f>
        <v>Élevé</v>
      </c>
      <c r="M14" s="9" t="str">
        <f aca="false">IF(K14="","",IF(K14&lt;=Méthode!$C$29,"Acceptable","À traiter"))</f>
        <v>À traiter</v>
      </c>
      <c r="N14" s="15" t="s">
        <v>74</v>
      </c>
      <c r="O14" s="10" t="s">
        <v>154</v>
      </c>
      <c r="P14" s="15" t="n">
        <v>2</v>
      </c>
      <c r="Q14" s="15" t="n">
        <v>3</v>
      </c>
      <c r="R14" s="9" t="n">
        <f aca="false">IF(OR(P14="",Q14=""),"",P14*Q14)</f>
        <v>6</v>
      </c>
      <c r="S14" s="9" t="str">
        <f aca="false">IF(R14="","",IF(R14&gt;=Méthode!$C$26,"Critique",IF(R14&gt;=Méthode!$C$27,"Élevé",IF(R14&gt;=Méthode!$C$28,"Modéré","Faible"))))</f>
        <v>Modéré</v>
      </c>
      <c r="T14" s="16" t="s">
        <v>155</v>
      </c>
      <c r="U14" s="15" t="s">
        <v>77</v>
      </c>
    </row>
    <row r="15" customFormat="false" ht="79.85" hidden="false" customHeight="false" outlineLevel="0" collapsed="false">
      <c r="A15" s="11" t="s">
        <v>156</v>
      </c>
      <c r="B15" s="10" t="s">
        <v>157</v>
      </c>
      <c r="C15" s="10" t="s">
        <v>158</v>
      </c>
      <c r="D15" s="10" t="s">
        <v>159</v>
      </c>
      <c r="E15" s="9" t="s">
        <v>70</v>
      </c>
      <c r="F15" s="10" t="s">
        <v>160</v>
      </c>
      <c r="G15" s="10" t="s">
        <v>161</v>
      </c>
      <c r="H15" s="15" t="n">
        <v>4</v>
      </c>
      <c r="I15" s="15" t="n">
        <v>3</v>
      </c>
      <c r="J15" s="16" t="s">
        <v>162</v>
      </c>
      <c r="K15" s="9" t="n">
        <f aca="false">IF(OR(H15="",I15=""),"",H15*I15)</f>
        <v>12</v>
      </c>
      <c r="L15" s="12" t="str">
        <f aca="false">IF(K15="","",IF(K15&gt;=Méthode!$C$26,"Critique",IF(K15&gt;=Méthode!$C$27,"Élevé",IF(K15&gt;=Méthode!$C$28,"Modéré","Faible"))))</f>
        <v>Critique</v>
      </c>
      <c r="M15" s="9" t="str">
        <f aca="false">IF(K15="","",IF(K15&lt;=Méthode!$C$29,"Acceptable","À traiter"))</f>
        <v>À traiter</v>
      </c>
      <c r="N15" s="15" t="s">
        <v>74</v>
      </c>
      <c r="O15" s="10" t="s">
        <v>163</v>
      </c>
      <c r="P15" s="15" t="n">
        <v>2</v>
      </c>
      <c r="Q15" s="15" t="n">
        <v>2</v>
      </c>
      <c r="R15" s="9" t="n">
        <f aca="false">IF(OR(P15="",Q15=""),"",P15*Q15)</f>
        <v>4</v>
      </c>
      <c r="S15" s="9" t="str">
        <f aca="false">IF(R15="","",IF(R15&gt;=Méthode!$C$26,"Critique",IF(R15&gt;=Méthode!$C$27,"Élevé",IF(R15&gt;=Méthode!$C$28,"Modéré","Faible"))))</f>
        <v>Modéré</v>
      </c>
      <c r="T15" s="16" t="s">
        <v>164</v>
      </c>
      <c r="U15" s="15" t="s">
        <v>77</v>
      </c>
    </row>
    <row r="16" customFormat="false" ht="79.85" hidden="false" customHeight="false" outlineLevel="0" collapsed="false">
      <c r="A16" s="11" t="s">
        <v>165</v>
      </c>
      <c r="B16" s="10" t="s">
        <v>166</v>
      </c>
      <c r="C16" s="10" t="s">
        <v>167</v>
      </c>
      <c r="D16" s="10" t="s">
        <v>168</v>
      </c>
      <c r="E16" s="9" t="s">
        <v>90</v>
      </c>
      <c r="F16" s="10" t="s">
        <v>108</v>
      </c>
      <c r="G16" s="10" t="s">
        <v>169</v>
      </c>
      <c r="H16" s="15" t="n">
        <v>2</v>
      </c>
      <c r="I16" s="15" t="n">
        <v>2</v>
      </c>
      <c r="J16" s="16" t="s">
        <v>170</v>
      </c>
      <c r="K16" s="9" t="n">
        <f aca="false">IF(OR(H16="",I16=""),"",H16*I16)</f>
        <v>4</v>
      </c>
      <c r="L16" s="12" t="str">
        <f aca="false">IF(K16="","",IF(K16&gt;=Méthode!$C$26,"Critique",IF(K16&gt;=Méthode!$C$27,"Élevé",IF(K16&gt;=Méthode!$C$28,"Modéré","Faible"))))</f>
        <v>Modéré</v>
      </c>
      <c r="M16" s="9" t="str">
        <f aca="false">IF(K16="","",IF(K16&lt;=Méthode!$C$29,"Acceptable","À traiter"))</f>
        <v>À traiter</v>
      </c>
      <c r="N16" s="15" t="s">
        <v>74</v>
      </c>
      <c r="O16" s="10" t="s">
        <v>171</v>
      </c>
      <c r="P16" s="15" t="n">
        <v>1</v>
      </c>
      <c r="Q16" s="15" t="n">
        <v>2</v>
      </c>
      <c r="R16" s="9" t="n">
        <f aca="false">IF(OR(P16="",Q16=""),"",P16*Q16)</f>
        <v>2</v>
      </c>
      <c r="S16" s="9" t="str">
        <f aca="false">IF(R16="","",IF(R16&gt;=Méthode!$C$26,"Critique",IF(R16&gt;=Méthode!$C$27,"Élevé",IF(R16&gt;=Méthode!$C$28,"Modéré","Faible"))))</f>
        <v>Faible</v>
      </c>
      <c r="T16" s="16" t="s">
        <v>172</v>
      </c>
      <c r="U16" s="15" t="s">
        <v>77</v>
      </c>
    </row>
    <row r="17" customFormat="false" ht="15" hidden="false" customHeight="false" outlineLevel="0" collapsed="false">
      <c r="A17" s="9"/>
      <c r="B17" s="10"/>
      <c r="C17" s="10"/>
      <c r="D17" s="10"/>
      <c r="E17" s="9"/>
      <c r="F17" s="10"/>
      <c r="G17" s="10"/>
      <c r="H17" s="15"/>
      <c r="I17" s="15"/>
      <c r="J17" s="16"/>
      <c r="K17" s="9" t="str">
        <f aca="false">IF(OR(H17="",I17=""),"",H17*I17)</f>
        <v/>
      </c>
      <c r="L17" s="12" t="str">
        <f aca="false">IF(K17="","",IF(K17&gt;=Méthode!$C$26,"Critique",IF(K17&gt;=Méthode!$C$27,"Élevé",IF(K17&gt;=Méthode!$C$28,"Modéré","Faible"))))</f>
        <v/>
      </c>
      <c r="M17" s="9" t="str">
        <f aca="false">IF(K17="","",IF(K17&lt;=Méthode!$C$29,"Acceptable","À traiter"))</f>
        <v/>
      </c>
      <c r="N17" s="15"/>
      <c r="O17" s="10"/>
      <c r="P17" s="15"/>
      <c r="Q17" s="15"/>
      <c r="R17" s="9" t="str">
        <f aca="false">IF(OR(P17="",Q17=""),"",P17*Q17)</f>
        <v/>
      </c>
      <c r="S17" s="9" t="str">
        <f aca="false">IF(R17="","",IF(R17&gt;=Méthode!$C$26,"Critique",IF(R17&gt;=Méthode!$C$27,"Élevé",IF(R17&gt;=Méthode!$C$28,"Modéré","Faible"))))</f>
        <v/>
      </c>
      <c r="T17" s="16"/>
      <c r="U17" s="15"/>
    </row>
    <row r="18" customFormat="false" ht="15" hidden="false" customHeight="false" outlineLevel="0" collapsed="false">
      <c r="A18" s="9"/>
      <c r="B18" s="10"/>
      <c r="C18" s="10"/>
      <c r="D18" s="10"/>
      <c r="E18" s="9"/>
      <c r="F18" s="10"/>
      <c r="G18" s="10"/>
      <c r="H18" s="15"/>
      <c r="I18" s="15"/>
      <c r="J18" s="16"/>
      <c r="K18" s="9" t="str">
        <f aca="false">IF(OR(H18="",I18=""),"",H18*I18)</f>
        <v/>
      </c>
      <c r="L18" s="12" t="str">
        <f aca="false">IF(K18="","",IF(K18&gt;=Méthode!$C$26,"Critique",IF(K18&gt;=Méthode!$C$27,"Élevé",IF(K18&gt;=Méthode!$C$28,"Modéré","Faible"))))</f>
        <v/>
      </c>
      <c r="M18" s="9" t="str">
        <f aca="false">IF(K18="","",IF(K18&lt;=Méthode!$C$29,"Acceptable","À traiter"))</f>
        <v/>
      </c>
      <c r="N18" s="15"/>
      <c r="O18" s="10"/>
      <c r="P18" s="15"/>
      <c r="Q18" s="15"/>
      <c r="R18" s="9" t="str">
        <f aca="false">IF(OR(P18="",Q18=""),"",P18*Q18)</f>
        <v/>
      </c>
      <c r="S18" s="9" t="str">
        <f aca="false">IF(R18="","",IF(R18&gt;=Méthode!$C$26,"Critique",IF(R18&gt;=Méthode!$C$27,"Élevé",IF(R18&gt;=Méthode!$C$28,"Modéré","Faible"))))</f>
        <v/>
      </c>
      <c r="T18" s="16"/>
      <c r="U18" s="15"/>
    </row>
    <row r="19" customFormat="false" ht="15" hidden="false" customHeight="false" outlineLevel="0" collapsed="false">
      <c r="A19" s="9"/>
      <c r="B19" s="10"/>
      <c r="C19" s="10"/>
      <c r="D19" s="10"/>
      <c r="E19" s="9"/>
      <c r="F19" s="10"/>
      <c r="G19" s="10"/>
      <c r="H19" s="15"/>
      <c r="I19" s="15"/>
      <c r="J19" s="16"/>
      <c r="K19" s="9" t="str">
        <f aca="false">IF(OR(H19="",I19=""),"",H19*I19)</f>
        <v/>
      </c>
      <c r="L19" s="12" t="str">
        <f aca="false">IF(K19="","",IF(K19&gt;=Méthode!$C$26,"Critique",IF(K19&gt;=Méthode!$C$27,"Élevé",IF(K19&gt;=Méthode!$C$28,"Modéré","Faible"))))</f>
        <v/>
      </c>
      <c r="M19" s="9" t="str">
        <f aca="false">IF(K19="","",IF(K19&lt;=Méthode!$C$29,"Acceptable","À traiter"))</f>
        <v/>
      </c>
      <c r="N19" s="15"/>
      <c r="O19" s="10"/>
      <c r="P19" s="15"/>
      <c r="Q19" s="15"/>
      <c r="R19" s="9" t="str">
        <f aca="false">IF(OR(P19="",Q19=""),"",P19*Q19)</f>
        <v/>
      </c>
      <c r="S19" s="9" t="str">
        <f aca="false">IF(R19="","",IF(R19&gt;=Méthode!$C$26,"Critique",IF(R19&gt;=Méthode!$C$27,"Élevé",IF(R19&gt;=Méthode!$C$28,"Modéré","Faible"))))</f>
        <v/>
      </c>
      <c r="T19" s="16"/>
      <c r="U19" s="15"/>
    </row>
    <row r="20" customFormat="false" ht="15" hidden="false" customHeight="false" outlineLevel="0" collapsed="false">
      <c r="A20" s="9"/>
      <c r="B20" s="10"/>
      <c r="C20" s="10"/>
      <c r="D20" s="10"/>
      <c r="E20" s="9"/>
      <c r="F20" s="10"/>
      <c r="G20" s="10"/>
      <c r="H20" s="15"/>
      <c r="I20" s="15"/>
      <c r="J20" s="16"/>
      <c r="K20" s="9" t="str">
        <f aca="false">IF(OR(H20="",I20=""),"",H20*I20)</f>
        <v/>
      </c>
      <c r="L20" s="12" t="str">
        <f aca="false">IF(K20="","",IF(K20&gt;=Méthode!$C$26,"Critique",IF(K20&gt;=Méthode!$C$27,"Élevé",IF(K20&gt;=Méthode!$C$28,"Modéré","Faible"))))</f>
        <v/>
      </c>
      <c r="M20" s="9" t="str">
        <f aca="false">IF(K20="","",IF(K20&lt;=Méthode!$C$29,"Acceptable","À traiter"))</f>
        <v/>
      </c>
      <c r="N20" s="15"/>
      <c r="O20" s="10"/>
      <c r="P20" s="15"/>
      <c r="Q20" s="15"/>
      <c r="R20" s="9" t="str">
        <f aca="false">IF(OR(P20="",Q20=""),"",P20*Q20)</f>
        <v/>
      </c>
      <c r="S20" s="9" t="str">
        <f aca="false">IF(R20="","",IF(R20&gt;=Méthode!$C$26,"Critique",IF(R20&gt;=Méthode!$C$27,"Élevé",IF(R20&gt;=Méthode!$C$28,"Modéré","Faible"))))</f>
        <v/>
      </c>
      <c r="T20" s="16"/>
      <c r="U20" s="15"/>
    </row>
    <row r="21" customFormat="false" ht="15" hidden="false" customHeight="false" outlineLevel="0" collapsed="false">
      <c r="A21" s="9"/>
      <c r="B21" s="10"/>
      <c r="C21" s="10"/>
      <c r="D21" s="10"/>
      <c r="E21" s="9"/>
      <c r="F21" s="10"/>
      <c r="G21" s="10"/>
      <c r="H21" s="15"/>
      <c r="I21" s="15"/>
      <c r="J21" s="16"/>
      <c r="K21" s="9" t="str">
        <f aca="false">IF(OR(H21="",I21=""),"",H21*I21)</f>
        <v/>
      </c>
      <c r="L21" s="12" t="str">
        <f aca="false">IF(K21="","",IF(K21&gt;=Méthode!$C$26,"Critique",IF(K21&gt;=Méthode!$C$27,"Élevé",IF(K21&gt;=Méthode!$C$28,"Modéré","Faible"))))</f>
        <v/>
      </c>
      <c r="M21" s="9" t="str">
        <f aca="false">IF(K21="","",IF(K21&lt;=Méthode!$C$29,"Acceptable","À traiter"))</f>
        <v/>
      </c>
      <c r="N21" s="15"/>
      <c r="O21" s="10"/>
      <c r="P21" s="15"/>
      <c r="Q21" s="15"/>
      <c r="R21" s="9" t="str">
        <f aca="false">IF(OR(P21="",Q21=""),"",P21*Q21)</f>
        <v/>
      </c>
      <c r="S21" s="9" t="str">
        <f aca="false">IF(R21="","",IF(R21&gt;=Méthode!$C$26,"Critique",IF(R21&gt;=Méthode!$C$27,"Élevé",IF(R21&gt;=Méthode!$C$28,"Modéré","Faible"))))</f>
        <v/>
      </c>
      <c r="T21" s="16"/>
      <c r="U21" s="15"/>
    </row>
    <row r="22" customFormat="false" ht="15" hidden="false" customHeight="false" outlineLevel="0" collapsed="false">
      <c r="A22" s="9"/>
      <c r="B22" s="10"/>
      <c r="C22" s="10"/>
      <c r="D22" s="10"/>
      <c r="E22" s="9"/>
      <c r="F22" s="10"/>
      <c r="G22" s="10"/>
      <c r="H22" s="15"/>
      <c r="I22" s="15"/>
      <c r="J22" s="16"/>
      <c r="K22" s="9" t="str">
        <f aca="false">IF(OR(H22="",I22=""),"",H22*I22)</f>
        <v/>
      </c>
      <c r="L22" s="12" t="str">
        <f aca="false">IF(K22="","",IF(K22&gt;=Méthode!$C$26,"Critique",IF(K22&gt;=Méthode!$C$27,"Élevé",IF(K22&gt;=Méthode!$C$28,"Modéré","Faible"))))</f>
        <v/>
      </c>
      <c r="M22" s="9" t="str">
        <f aca="false">IF(K22="","",IF(K22&lt;=Méthode!$C$29,"Acceptable","À traiter"))</f>
        <v/>
      </c>
      <c r="N22" s="15"/>
      <c r="O22" s="10"/>
      <c r="P22" s="15"/>
      <c r="Q22" s="15"/>
      <c r="R22" s="9" t="str">
        <f aca="false">IF(OR(P22="",Q22=""),"",P22*Q22)</f>
        <v/>
      </c>
      <c r="S22" s="9" t="str">
        <f aca="false">IF(R22="","",IF(R22&gt;=Méthode!$C$26,"Critique",IF(R22&gt;=Méthode!$C$27,"Élevé",IF(R22&gt;=Méthode!$C$28,"Modéré","Faible"))))</f>
        <v/>
      </c>
      <c r="T22" s="16"/>
      <c r="U22" s="15"/>
    </row>
    <row r="23" customFormat="false" ht="15" hidden="false" customHeight="false" outlineLevel="0" collapsed="false">
      <c r="A23" s="9"/>
      <c r="B23" s="10"/>
      <c r="C23" s="10"/>
      <c r="D23" s="10"/>
      <c r="E23" s="9"/>
      <c r="F23" s="10"/>
      <c r="G23" s="10"/>
      <c r="H23" s="15"/>
      <c r="I23" s="15"/>
      <c r="J23" s="16"/>
      <c r="K23" s="9" t="str">
        <f aca="false">IF(OR(H23="",I23=""),"",H23*I23)</f>
        <v/>
      </c>
      <c r="L23" s="12" t="str">
        <f aca="false">IF(K23="","",IF(K23&gt;=Méthode!$C$26,"Critique",IF(K23&gt;=Méthode!$C$27,"Élevé",IF(K23&gt;=Méthode!$C$28,"Modéré","Faible"))))</f>
        <v/>
      </c>
      <c r="M23" s="9" t="str">
        <f aca="false">IF(K23="","",IF(K23&lt;=Méthode!$C$29,"Acceptable","À traiter"))</f>
        <v/>
      </c>
      <c r="N23" s="15"/>
      <c r="O23" s="10"/>
      <c r="P23" s="15"/>
      <c r="Q23" s="15"/>
      <c r="R23" s="9" t="str">
        <f aca="false">IF(OR(P23="",Q23=""),"",P23*Q23)</f>
        <v/>
      </c>
      <c r="S23" s="9" t="str">
        <f aca="false">IF(R23="","",IF(R23&gt;=Méthode!$C$26,"Critique",IF(R23&gt;=Méthode!$C$27,"Élevé",IF(R23&gt;=Méthode!$C$28,"Modéré","Faible"))))</f>
        <v/>
      </c>
      <c r="T23" s="16"/>
      <c r="U23" s="15"/>
    </row>
    <row r="24" customFormat="false" ht="15" hidden="false" customHeight="false" outlineLevel="0" collapsed="false">
      <c r="A24" s="9"/>
      <c r="B24" s="10"/>
      <c r="C24" s="10"/>
      <c r="D24" s="10"/>
      <c r="E24" s="9"/>
      <c r="F24" s="10"/>
      <c r="G24" s="10"/>
      <c r="H24" s="15"/>
      <c r="I24" s="15"/>
      <c r="J24" s="16"/>
      <c r="K24" s="9" t="str">
        <f aca="false">IF(OR(H24="",I24=""),"",H24*I24)</f>
        <v/>
      </c>
      <c r="L24" s="12" t="str">
        <f aca="false">IF(K24="","",IF(K24&gt;=Méthode!$C$26,"Critique",IF(K24&gt;=Méthode!$C$27,"Élevé",IF(K24&gt;=Méthode!$C$28,"Modéré","Faible"))))</f>
        <v/>
      </c>
      <c r="M24" s="9" t="str">
        <f aca="false">IF(K24="","",IF(K24&lt;=Méthode!$C$29,"Acceptable","À traiter"))</f>
        <v/>
      </c>
      <c r="N24" s="15"/>
      <c r="O24" s="10"/>
      <c r="P24" s="15"/>
      <c r="Q24" s="15"/>
      <c r="R24" s="9" t="str">
        <f aca="false">IF(OR(P24="",Q24=""),"",P24*Q24)</f>
        <v/>
      </c>
      <c r="S24" s="9" t="str">
        <f aca="false">IF(R24="","",IF(R24&gt;=Méthode!$C$26,"Critique",IF(R24&gt;=Méthode!$C$27,"Élevé",IF(R24&gt;=Méthode!$C$28,"Modéré","Faible"))))</f>
        <v/>
      </c>
      <c r="T24" s="16"/>
      <c r="U24" s="15"/>
    </row>
    <row r="25" customFormat="false" ht="15" hidden="false" customHeight="false" outlineLevel="0" collapsed="false">
      <c r="A25" s="9"/>
      <c r="B25" s="10"/>
      <c r="C25" s="10"/>
      <c r="D25" s="10"/>
      <c r="E25" s="9"/>
      <c r="F25" s="10"/>
      <c r="G25" s="10"/>
      <c r="H25" s="15"/>
      <c r="I25" s="15"/>
      <c r="J25" s="16"/>
      <c r="K25" s="9" t="str">
        <f aca="false">IF(OR(H25="",I25=""),"",H25*I25)</f>
        <v/>
      </c>
      <c r="L25" s="12" t="str">
        <f aca="false">IF(K25="","",IF(K25&gt;=Méthode!$C$26,"Critique",IF(K25&gt;=Méthode!$C$27,"Élevé",IF(K25&gt;=Méthode!$C$28,"Modéré","Faible"))))</f>
        <v/>
      </c>
      <c r="M25" s="9" t="str">
        <f aca="false">IF(K25="","",IF(K25&lt;=Méthode!$C$29,"Acceptable","À traiter"))</f>
        <v/>
      </c>
      <c r="N25" s="15"/>
      <c r="O25" s="10"/>
      <c r="P25" s="15"/>
      <c r="Q25" s="15"/>
      <c r="R25" s="9" t="str">
        <f aca="false">IF(OR(P25="",Q25=""),"",P25*Q25)</f>
        <v/>
      </c>
      <c r="S25" s="9" t="str">
        <f aca="false">IF(R25="","",IF(R25&gt;=Méthode!$C$26,"Critique",IF(R25&gt;=Méthode!$C$27,"Élevé",IF(R25&gt;=Méthode!$C$28,"Modéré","Faible"))))</f>
        <v/>
      </c>
      <c r="T25" s="16"/>
      <c r="U25" s="15"/>
    </row>
    <row r="26" customFormat="false" ht="15" hidden="false" customHeight="false" outlineLevel="0" collapsed="false">
      <c r="A26" s="9"/>
      <c r="B26" s="10"/>
      <c r="C26" s="10"/>
      <c r="D26" s="10"/>
      <c r="E26" s="9"/>
      <c r="F26" s="10"/>
      <c r="G26" s="10"/>
      <c r="H26" s="15"/>
      <c r="I26" s="15"/>
      <c r="J26" s="16"/>
      <c r="K26" s="9" t="str">
        <f aca="false">IF(OR(H26="",I26=""),"",H26*I26)</f>
        <v/>
      </c>
      <c r="L26" s="12" t="str">
        <f aca="false">IF(K26="","",IF(K26&gt;=Méthode!$C$26,"Critique",IF(K26&gt;=Méthode!$C$27,"Élevé",IF(K26&gt;=Méthode!$C$28,"Modéré","Faible"))))</f>
        <v/>
      </c>
      <c r="M26" s="9" t="str">
        <f aca="false">IF(K26="","",IF(K26&lt;=Méthode!$C$29,"Acceptable","À traiter"))</f>
        <v/>
      </c>
      <c r="N26" s="15"/>
      <c r="O26" s="10"/>
      <c r="P26" s="15"/>
      <c r="Q26" s="15"/>
      <c r="R26" s="9" t="str">
        <f aca="false">IF(OR(P26="",Q26=""),"",P26*Q26)</f>
        <v/>
      </c>
      <c r="S26" s="9" t="str">
        <f aca="false">IF(R26="","",IF(R26&gt;=Méthode!$C$26,"Critique",IF(R26&gt;=Méthode!$C$27,"Élevé",IF(R26&gt;=Méthode!$C$28,"Modéré","Faible"))))</f>
        <v/>
      </c>
      <c r="T26" s="16"/>
      <c r="U26" s="15"/>
    </row>
    <row r="27" customFormat="false" ht="15" hidden="false" customHeight="false" outlineLevel="0" collapsed="false">
      <c r="A27" s="9"/>
      <c r="B27" s="10"/>
      <c r="C27" s="10"/>
      <c r="D27" s="10"/>
      <c r="E27" s="9"/>
      <c r="F27" s="10"/>
      <c r="G27" s="10"/>
      <c r="H27" s="15"/>
      <c r="I27" s="15"/>
      <c r="J27" s="16"/>
      <c r="K27" s="9" t="str">
        <f aca="false">IF(OR(H27="",I27=""),"",H27*I27)</f>
        <v/>
      </c>
      <c r="L27" s="12" t="str">
        <f aca="false">IF(K27="","",IF(K27&gt;=Méthode!$C$26,"Critique",IF(K27&gt;=Méthode!$C$27,"Élevé",IF(K27&gt;=Méthode!$C$28,"Modéré","Faible"))))</f>
        <v/>
      </c>
      <c r="M27" s="9" t="str">
        <f aca="false">IF(K27="","",IF(K27&lt;=Méthode!$C$29,"Acceptable","À traiter"))</f>
        <v/>
      </c>
      <c r="N27" s="15"/>
      <c r="O27" s="10"/>
      <c r="P27" s="15"/>
      <c r="Q27" s="15"/>
      <c r="R27" s="9" t="str">
        <f aca="false">IF(OR(P27="",Q27=""),"",P27*Q27)</f>
        <v/>
      </c>
      <c r="S27" s="9" t="str">
        <f aca="false">IF(R27="","",IF(R27&gt;=Méthode!$C$26,"Critique",IF(R27&gt;=Méthode!$C$27,"Élevé",IF(R27&gt;=Méthode!$C$28,"Modéré","Faible"))))</f>
        <v/>
      </c>
      <c r="T27" s="16"/>
      <c r="U27" s="15"/>
    </row>
    <row r="28" customFormat="false" ht="15" hidden="false" customHeight="false" outlineLevel="0" collapsed="false">
      <c r="A28" s="9"/>
      <c r="B28" s="10"/>
      <c r="C28" s="10"/>
      <c r="D28" s="10"/>
      <c r="E28" s="9"/>
      <c r="F28" s="10"/>
      <c r="G28" s="10"/>
      <c r="H28" s="15"/>
      <c r="I28" s="15"/>
      <c r="J28" s="16"/>
      <c r="K28" s="9" t="str">
        <f aca="false">IF(OR(H28="",I28=""),"",H28*I28)</f>
        <v/>
      </c>
      <c r="L28" s="12" t="str">
        <f aca="false">IF(K28="","",IF(K28&gt;=Méthode!$C$26,"Critique",IF(K28&gt;=Méthode!$C$27,"Élevé",IF(K28&gt;=Méthode!$C$28,"Modéré","Faible"))))</f>
        <v/>
      </c>
      <c r="M28" s="9" t="str">
        <f aca="false">IF(K28="","",IF(K28&lt;=Méthode!$C$29,"Acceptable","À traiter"))</f>
        <v/>
      </c>
      <c r="N28" s="15"/>
      <c r="O28" s="10"/>
      <c r="P28" s="15"/>
      <c r="Q28" s="15"/>
      <c r="R28" s="9" t="str">
        <f aca="false">IF(OR(P28="",Q28=""),"",P28*Q28)</f>
        <v/>
      </c>
      <c r="S28" s="9" t="str">
        <f aca="false">IF(R28="","",IF(R28&gt;=Méthode!$C$26,"Critique",IF(R28&gt;=Méthode!$C$27,"Élevé",IF(R28&gt;=Méthode!$C$28,"Modéré","Faible"))))</f>
        <v/>
      </c>
      <c r="T28" s="16"/>
      <c r="U28" s="15"/>
    </row>
    <row r="29" customFormat="false" ht="15" hidden="false" customHeight="false" outlineLevel="0" collapsed="false">
      <c r="A29" s="9"/>
      <c r="B29" s="10"/>
      <c r="C29" s="10"/>
      <c r="D29" s="10"/>
      <c r="E29" s="9"/>
      <c r="F29" s="10"/>
      <c r="G29" s="10"/>
      <c r="H29" s="15"/>
      <c r="I29" s="15"/>
      <c r="J29" s="16"/>
      <c r="K29" s="9" t="str">
        <f aca="false">IF(OR(H29="",I29=""),"",H29*I29)</f>
        <v/>
      </c>
      <c r="L29" s="12" t="str">
        <f aca="false">IF(K29="","",IF(K29&gt;=Méthode!$C$26,"Critique",IF(K29&gt;=Méthode!$C$27,"Élevé",IF(K29&gt;=Méthode!$C$28,"Modéré","Faible"))))</f>
        <v/>
      </c>
      <c r="M29" s="9" t="str">
        <f aca="false">IF(K29="","",IF(K29&lt;=Méthode!$C$29,"Acceptable","À traiter"))</f>
        <v/>
      </c>
      <c r="N29" s="15"/>
      <c r="O29" s="10"/>
      <c r="P29" s="15"/>
      <c r="Q29" s="15"/>
      <c r="R29" s="9" t="str">
        <f aca="false">IF(OR(P29="",Q29=""),"",P29*Q29)</f>
        <v/>
      </c>
      <c r="S29" s="9" t="str">
        <f aca="false">IF(R29="","",IF(R29&gt;=Méthode!$C$26,"Critique",IF(R29&gt;=Méthode!$C$27,"Élevé",IF(R29&gt;=Méthode!$C$28,"Modéré","Faible"))))</f>
        <v/>
      </c>
      <c r="T29" s="16"/>
      <c r="U29" s="15"/>
    </row>
    <row r="30" customFormat="false" ht="15" hidden="false" customHeight="false" outlineLevel="0" collapsed="false">
      <c r="A30" s="9"/>
      <c r="B30" s="10"/>
      <c r="C30" s="10"/>
      <c r="D30" s="10"/>
      <c r="E30" s="9"/>
      <c r="F30" s="10"/>
      <c r="G30" s="10"/>
      <c r="H30" s="15"/>
      <c r="I30" s="15"/>
      <c r="J30" s="16"/>
      <c r="K30" s="9" t="str">
        <f aca="false">IF(OR(H30="",I30=""),"",H30*I30)</f>
        <v/>
      </c>
      <c r="L30" s="12" t="str">
        <f aca="false">IF(K30="","",IF(K30&gt;=Méthode!$C$26,"Critique",IF(K30&gt;=Méthode!$C$27,"Élevé",IF(K30&gt;=Méthode!$C$28,"Modéré","Faible"))))</f>
        <v/>
      </c>
      <c r="M30" s="9" t="str">
        <f aca="false">IF(K30="","",IF(K30&lt;=Méthode!$C$29,"Acceptable","À traiter"))</f>
        <v/>
      </c>
      <c r="N30" s="15"/>
      <c r="O30" s="10"/>
      <c r="P30" s="15"/>
      <c r="Q30" s="15"/>
      <c r="R30" s="9" t="str">
        <f aca="false">IF(OR(P30="",Q30=""),"",P30*Q30)</f>
        <v/>
      </c>
      <c r="S30" s="9" t="str">
        <f aca="false">IF(R30="","",IF(R30&gt;=Méthode!$C$26,"Critique",IF(R30&gt;=Méthode!$C$27,"Élevé",IF(R30&gt;=Méthode!$C$28,"Modéré","Faible"))))</f>
        <v/>
      </c>
      <c r="T30" s="16"/>
      <c r="U30" s="15"/>
    </row>
    <row r="31" customFormat="false" ht="15" hidden="false" customHeight="false" outlineLevel="0" collapsed="false">
      <c r="A31" s="9"/>
      <c r="B31" s="10"/>
      <c r="C31" s="10"/>
      <c r="D31" s="10"/>
      <c r="E31" s="9"/>
      <c r="F31" s="10"/>
      <c r="G31" s="10"/>
      <c r="H31" s="15"/>
      <c r="I31" s="15"/>
      <c r="J31" s="16"/>
      <c r="K31" s="9" t="str">
        <f aca="false">IF(OR(H31="",I31=""),"",H31*I31)</f>
        <v/>
      </c>
      <c r="L31" s="12" t="str">
        <f aca="false">IF(K31="","",IF(K31&gt;=Méthode!$C$26,"Critique",IF(K31&gt;=Méthode!$C$27,"Élevé",IF(K31&gt;=Méthode!$C$28,"Modéré","Faible"))))</f>
        <v/>
      </c>
      <c r="M31" s="9" t="str">
        <f aca="false">IF(K31="","",IF(K31&lt;=Méthode!$C$29,"Acceptable","À traiter"))</f>
        <v/>
      </c>
      <c r="N31" s="15"/>
      <c r="O31" s="10"/>
      <c r="P31" s="15"/>
      <c r="Q31" s="15"/>
      <c r="R31" s="9" t="str">
        <f aca="false">IF(OR(P31="",Q31=""),"",P31*Q31)</f>
        <v/>
      </c>
      <c r="S31" s="9" t="str">
        <f aca="false">IF(R31="","",IF(R31&gt;=Méthode!$C$26,"Critique",IF(R31&gt;=Méthode!$C$27,"Élevé",IF(R31&gt;=Méthode!$C$28,"Modéré","Faible"))))</f>
        <v/>
      </c>
      <c r="T31" s="16"/>
      <c r="U31" s="15"/>
    </row>
    <row r="32" customFormat="false" ht="15" hidden="false" customHeight="false" outlineLevel="0" collapsed="false">
      <c r="A32" s="9"/>
      <c r="B32" s="10"/>
      <c r="C32" s="10"/>
      <c r="D32" s="10"/>
      <c r="E32" s="9"/>
      <c r="F32" s="10"/>
      <c r="G32" s="10"/>
      <c r="H32" s="15"/>
      <c r="I32" s="15"/>
      <c r="J32" s="16"/>
      <c r="K32" s="9" t="str">
        <f aca="false">IF(OR(H32="",I32=""),"",H32*I32)</f>
        <v/>
      </c>
      <c r="L32" s="12" t="str">
        <f aca="false">IF(K32="","",IF(K32&gt;=Méthode!$C$26,"Critique",IF(K32&gt;=Méthode!$C$27,"Élevé",IF(K32&gt;=Méthode!$C$28,"Modéré","Faible"))))</f>
        <v/>
      </c>
      <c r="M32" s="9" t="str">
        <f aca="false">IF(K32="","",IF(K32&lt;=Méthode!$C$29,"Acceptable","À traiter"))</f>
        <v/>
      </c>
      <c r="N32" s="15"/>
      <c r="O32" s="10"/>
      <c r="P32" s="15"/>
      <c r="Q32" s="15"/>
      <c r="R32" s="9" t="str">
        <f aca="false">IF(OR(P32="",Q32=""),"",P32*Q32)</f>
        <v/>
      </c>
      <c r="S32" s="9" t="str">
        <f aca="false">IF(R32="","",IF(R32&gt;=Méthode!$C$26,"Critique",IF(R32&gt;=Méthode!$C$27,"Élevé",IF(R32&gt;=Méthode!$C$28,"Modéré","Faible"))))</f>
        <v/>
      </c>
      <c r="T32" s="16"/>
      <c r="U32" s="15"/>
    </row>
    <row r="33" customFormat="false" ht="15" hidden="false" customHeight="false" outlineLevel="0" collapsed="false">
      <c r="A33" s="9"/>
      <c r="B33" s="10"/>
      <c r="C33" s="10"/>
      <c r="D33" s="10"/>
      <c r="E33" s="9"/>
      <c r="F33" s="10"/>
      <c r="G33" s="10"/>
      <c r="H33" s="15"/>
      <c r="I33" s="15"/>
      <c r="J33" s="16"/>
      <c r="K33" s="9" t="str">
        <f aca="false">IF(OR(H33="",I33=""),"",H33*I33)</f>
        <v/>
      </c>
      <c r="L33" s="12" t="str">
        <f aca="false">IF(K33="","",IF(K33&gt;=Méthode!$C$26,"Critique",IF(K33&gt;=Méthode!$C$27,"Élevé",IF(K33&gt;=Méthode!$C$28,"Modéré","Faible"))))</f>
        <v/>
      </c>
      <c r="M33" s="9" t="str">
        <f aca="false">IF(K33="","",IF(K33&lt;=Méthode!$C$29,"Acceptable","À traiter"))</f>
        <v/>
      </c>
      <c r="N33" s="15"/>
      <c r="O33" s="10"/>
      <c r="P33" s="15"/>
      <c r="Q33" s="15"/>
      <c r="R33" s="9" t="str">
        <f aca="false">IF(OR(P33="",Q33=""),"",P33*Q33)</f>
        <v/>
      </c>
      <c r="S33" s="9" t="str">
        <f aca="false">IF(R33="","",IF(R33&gt;=Méthode!$C$26,"Critique",IF(R33&gt;=Méthode!$C$27,"Élevé",IF(R33&gt;=Méthode!$C$28,"Modéré","Faible"))))</f>
        <v/>
      </c>
      <c r="T33" s="16"/>
      <c r="U33" s="15"/>
    </row>
    <row r="34" customFormat="false" ht="15" hidden="false" customHeight="false" outlineLevel="0" collapsed="false">
      <c r="A34" s="9"/>
      <c r="B34" s="10"/>
      <c r="C34" s="10"/>
      <c r="D34" s="10"/>
      <c r="E34" s="9"/>
      <c r="F34" s="10"/>
      <c r="G34" s="10"/>
      <c r="H34" s="15"/>
      <c r="I34" s="15"/>
      <c r="J34" s="16"/>
      <c r="K34" s="9" t="str">
        <f aca="false">IF(OR(H34="",I34=""),"",H34*I34)</f>
        <v/>
      </c>
      <c r="L34" s="12" t="str">
        <f aca="false">IF(K34="","",IF(K34&gt;=Méthode!$C$26,"Critique",IF(K34&gt;=Méthode!$C$27,"Élevé",IF(K34&gt;=Méthode!$C$28,"Modéré","Faible"))))</f>
        <v/>
      </c>
      <c r="M34" s="9" t="str">
        <f aca="false">IF(K34="","",IF(K34&lt;=Méthode!$C$29,"Acceptable","À traiter"))</f>
        <v/>
      </c>
      <c r="N34" s="15"/>
      <c r="O34" s="10"/>
      <c r="P34" s="15"/>
      <c r="Q34" s="15"/>
      <c r="R34" s="9" t="str">
        <f aca="false">IF(OR(P34="",Q34=""),"",P34*Q34)</f>
        <v/>
      </c>
      <c r="S34" s="9" t="str">
        <f aca="false">IF(R34="","",IF(R34&gt;=Méthode!$C$26,"Critique",IF(R34&gt;=Méthode!$C$27,"Élevé",IF(R34&gt;=Méthode!$C$28,"Modéré","Faible"))))</f>
        <v/>
      </c>
      <c r="T34" s="16"/>
      <c r="U34" s="15"/>
    </row>
    <row r="35" customFormat="false" ht="15" hidden="false" customHeight="false" outlineLevel="0" collapsed="false">
      <c r="A35" s="9"/>
      <c r="B35" s="10"/>
      <c r="C35" s="10"/>
      <c r="D35" s="10"/>
      <c r="E35" s="9"/>
      <c r="F35" s="10"/>
      <c r="G35" s="10"/>
      <c r="H35" s="15"/>
      <c r="I35" s="15"/>
      <c r="J35" s="16"/>
      <c r="K35" s="9" t="str">
        <f aca="false">IF(OR(H35="",I35=""),"",H35*I35)</f>
        <v/>
      </c>
      <c r="L35" s="12" t="str">
        <f aca="false">IF(K35="","",IF(K35&gt;=Méthode!$C$26,"Critique",IF(K35&gt;=Méthode!$C$27,"Élevé",IF(K35&gt;=Méthode!$C$28,"Modéré","Faible"))))</f>
        <v/>
      </c>
      <c r="M35" s="9" t="str">
        <f aca="false">IF(K35="","",IF(K35&lt;=Méthode!$C$29,"Acceptable","À traiter"))</f>
        <v/>
      </c>
      <c r="N35" s="15"/>
      <c r="O35" s="10"/>
      <c r="P35" s="15"/>
      <c r="Q35" s="15"/>
      <c r="R35" s="9" t="str">
        <f aca="false">IF(OR(P35="",Q35=""),"",P35*Q35)</f>
        <v/>
      </c>
      <c r="S35" s="9" t="str">
        <f aca="false">IF(R35="","",IF(R35&gt;=Méthode!$C$26,"Critique",IF(R35&gt;=Méthode!$C$27,"Élevé",IF(R35&gt;=Méthode!$C$28,"Modéré","Faible"))))</f>
        <v/>
      </c>
      <c r="T35" s="16"/>
      <c r="U35" s="15"/>
    </row>
    <row r="36" customFormat="false" ht="15" hidden="false" customHeight="false" outlineLevel="0" collapsed="false">
      <c r="A36" s="9"/>
      <c r="B36" s="10"/>
      <c r="C36" s="10"/>
      <c r="D36" s="10"/>
      <c r="E36" s="9"/>
      <c r="F36" s="10"/>
      <c r="G36" s="10"/>
      <c r="H36" s="15"/>
      <c r="I36" s="15"/>
      <c r="J36" s="16"/>
      <c r="K36" s="9" t="str">
        <f aca="false">IF(OR(H36="",I36=""),"",H36*I36)</f>
        <v/>
      </c>
      <c r="L36" s="12" t="str">
        <f aca="false">IF(K36="","",IF(K36&gt;=Méthode!$C$26,"Critique",IF(K36&gt;=Méthode!$C$27,"Élevé",IF(K36&gt;=Méthode!$C$28,"Modéré","Faible"))))</f>
        <v/>
      </c>
      <c r="M36" s="9" t="str">
        <f aca="false">IF(K36="","",IF(K36&lt;=Méthode!$C$29,"Acceptable","À traiter"))</f>
        <v/>
      </c>
      <c r="N36" s="15"/>
      <c r="O36" s="10"/>
      <c r="P36" s="15"/>
      <c r="Q36" s="15"/>
      <c r="R36" s="9" t="str">
        <f aca="false">IF(OR(P36="",Q36=""),"",P36*Q36)</f>
        <v/>
      </c>
      <c r="S36" s="9" t="str">
        <f aca="false">IF(R36="","",IF(R36&gt;=Méthode!$C$26,"Critique",IF(R36&gt;=Méthode!$C$27,"Élevé",IF(R36&gt;=Méthode!$C$28,"Modéré","Faible"))))</f>
        <v/>
      </c>
      <c r="T36" s="16"/>
      <c r="U36" s="15"/>
    </row>
    <row r="37" customFormat="false" ht="15" hidden="false" customHeight="false" outlineLevel="0" collapsed="false">
      <c r="A37" s="9"/>
      <c r="B37" s="10"/>
      <c r="C37" s="10"/>
      <c r="D37" s="10"/>
      <c r="E37" s="9"/>
      <c r="F37" s="10"/>
      <c r="G37" s="10"/>
      <c r="H37" s="15"/>
      <c r="I37" s="15"/>
      <c r="J37" s="16"/>
      <c r="K37" s="9" t="str">
        <f aca="false">IF(OR(H37="",I37=""),"",H37*I37)</f>
        <v/>
      </c>
      <c r="L37" s="12" t="str">
        <f aca="false">IF(K37="","",IF(K37&gt;=Méthode!$C$26,"Critique",IF(K37&gt;=Méthode!$C$27,"Élevé",IF(K37&gt;=Méthode!$C$28,"Modéré","Faible"))))</f>
        <v/>
      </c>
      <c r="M37" s="9" t="str">
        <f aca="false">IF(K37="","",IF(K37&lt;=Méthode!$C$29,"Acceptable","À traiter"))</f>
        <v/>
      </c>
      <c r="N37" s="15"/>
      <c r="O37" s="10"/>
      <c r="P37" s="15"/>
      <c r="Q37" s="15"/>
      <c r="R37" s="9" t="str">
        <f aca="false">IF(OR(P37="",Q37=""),"",P37*Q37)</f>
        <v/>
      </c>
      <c r="S37" s="9" t="str">
        <f aca="false">IF(R37="","",IF(R37&gt;=Méthode!$C$26,"Critique",IF(R37&gt;=Méthode!$C$27,"Élevé",IF(R37&gt;=Méthode!$C$28,"Modéré","Faible"))))</f>
        <v/>
      </c>
      <c r="T37" s="16"/>
      <c r="U37" s="15"/>
    </row>
    <row r="38" customFormat="false" ht="15" hidden="false" customHeight="false" outlineLevel="0" collapsed="false">
      <c r="A38" s="9"/>
      <c r="B38" s="10"/>
      <c r="C38" s="10"/>
      <c r="D38" s="10"/>
      <c r="E38" s="9"/>
      <c r="F38" s="10"/>
      <c r="G38" s="10"/>
      <c r="H38" s="15"/>
      <c r="I38" s="15"/>
      <c r="J38" s="16"/>
      <c r="K38" s="9" t="str">
        <f aca="false">IF(OR(H38="",I38=""),"",H38*I38)</f>
        <v/>
      </c>
      <c r="L38" s="12" t="str">
        <f aca="false">IF(K38="","",IF(K38&gt;=Méthode!$C$26,"Critique",IF(K38&gt;=Méthode!$C$27,"Élevé",IF(K38&gt;=Méthode!$C$28,"Modéré","Faible"))))</f>
        <v/>
      </c>
      <c r="M38" s="9" t="str">
        <f aca="false">IF(K38="","",IF(K38&lt;=Méthode!$C$29,"Acceptable","À traiter"))</f>
        <v/>
      </c>
      <c r="N38" s="15"/>
      <c r="O38" s="10"/>
      <c r="P38" s="15"/>
      <c r="Q38" s="15"/>
      <c r="R38" s="9" t="str">
        <f aca="false">IF(OR(P38="",Q38=""),"",P38*Q38)</f>
        <v/>
      </c>
      <c r="S38" s="9" t="str">
        <f aca="false">IF(R38="","",IF(R38&gt;=Méthode!$C$26,"Critique",IF(R38&gt;=Méthode!$C$27,"Élevé",IF(R38&gt;=Méthode!$C$28,"Modéré","Faible"))))</f>
        <v/>
      </c>
      <c r="T38" s="16"/>
      <c r="U38" s="15"/>
    </row>
    <row r="39" customFormat="false" ht="15" hidden="false" customHeight="false" outlineLevel="0" collapsed="false">
      <c r="A39" s="9"/>
      <c r="B39" s="10"/>
      <c r="C39" s="10"/>
      <c r="D39" s="10"/>
      <c r="E39" s="9"/>
      <c r="F39" s="10"/>
      <c r="G39" s="10"/>
      <c r="H39" s="15"/>
      <c r="I39" s="15"/>
      <c r="J39" s="16"/>
      <c r="K39" s="9" t="str">
        <f aca="false">IF(OR(H39="",I39=""),"",H39*I39)</f>
        <v/>
      </c>
      <c r="L39" s="12" t="str">
        <f aca="false">IF(K39="","",IF(K39&gt;=Méthode!$C$26,"Critique",IF(K39&gt;=Méthode!$C$27,"Élevé",IF(K39&gt;=Méthode!$C$28,"Modéré","Faible"))))</f>
        <v/>
      </c>
      <c r="M39" s="9" t="str">
        <f aca="false">IF(K39="","",IF(K39&lt;=Méthode!$C$29,"Acceptable","À traiter"))</f>
        <v/>
      </c>
      <c r="N39" s="15"/>
      <c r="O39" s="10"/>
      <c r="P39" s="15"/>
      <c r="Q39" s="15"/>
      <c r="R39" s="9" t="str">
        <f aca="false">IF(OR(P39="",Q39=""),"",P39*Q39)</f>
        <v/>
      </c>
      <c r="S39" s="9" t="str">
        <f aca="false">IF(R39="","",IF(R39&gt;=Méthode!$C$26,"Critique",IF(R39&gt;=Méthode!$C$27,"Élevé",IF(R39&gt;=Méthode!$C$28,"Modéré","Faible"))))</f>
        <v/>
      </c>
      <c r="T39" s="16"/>
      <c r="U39" s="15"/>
    </row>
    <row r="40" customFormat="false" ht="15" hidden="false" customHeight="false" outlineLevel="0" collapsed="false">
      <c r="A40" s="9"/>
      <c r="B40" s="10"/>
      <c r="C40" s="10"/>
      <c r="D40" s="10"/>
      <c r="E40" s="9"/>
      <c r="F40" s="10"/>
      <c r="G40" s="10"/>
      <c r="H40" s="15"/>
      <c r="I40" s="15"/>
      <c r="J40" s="16"/>
      <c r="K40" s="9" t="str">
        <f aca="false">IF(OR(H40="",I40=""),"",H40*I40)</f>
        <v/>
      </c>
      <c r="L40" s="12" t="str">
        <f aca="false">IF(K40="","",IF(K40&gt;=Méthode!$C$26,"Critique",IF(K40&gt;=Méthode!$C$27,"Élevé",IF(K40&gt;=Méthode!$C$28,"Modéré","Faible"))))</f>
        <v/>
      </c>
      <c r="M40" s="9" t="str">
        <f aca="false">IF(K40="","",IF(K40&lt;=Méthode!$C$29,"Acceptable","À traiter"))</f>
        <v/>
      </c>
      <c r="N40" s="15"/>
      <c r="O40" s="10"/>
      <c r="P40" s="15"/>
      <c r="Q40" s="15"/>
      <c r="R40" s="9" t="str">
        <f aca="false">IF(OR(P40="",Q40=""),"",P40*Q40)</f>
        <v/>
      </c>
      <c r="S40" s="9" t="str">
        <f aca="false">IF(R40="","",IF(R40&gt;=Méthode!$C$26,"Critique",IF(R40&gt;=Méthode!$C$27,"Élevé",IF(R40&gt;=Méthode!$C$28,"Modéré","Faible"))))</f>
        <v/>
      </c>
      <c r="T40" s="16"/>
      <c r="U40" s="15"/>
    </row>
    <row r="41" customFormat="false" ht="15" hidden="false" customHeight="false" outlineLevel="0" collapsed="false">
      <c r="A41" s="9"/>
      <c r="B41" s="10"/>
      <c r="C41" s="10"/>
      <c r="D41" s="10"/>
      <c r="E41" s="9"/>
      <c r="F41" s="10"/>
      <c r="G41" s="10"/>
      <c r="H41" s="15"/>
      <c r="I41" s="15"/>
      <c r="J41" s="16"/>
      <c r="K41" s="9" t="str">
        <f aca="false">IF(OR(H41="",I41=""),"",H41*I41)</f>
        <v/>
      </c>
      <c r="L41" s="12" t="str">
        <f aca="false">IF(K41="","",IF(K41&gt;=Méthode!$C$26,"Critique",IF(K41&gt;=Méthode!$C$27,"Élevé",IF(K41&gt;=Méthode!$C$28,"Modéré","Faible"))))</f>
        <v/>
      </c>
      <c r="M41" s="9" t="str">
        <f aca="false">IF(K41="","",IF(K41&lt;=Méthode!$C$29,"Acceptable","À traiter"))</f>
        <v/>
      </c>
      <c r="N41" s="15"/>
      <c r="O41" s="10"/>
      <c r="P41" s="15"/>
      <c r="Q41" s="15"/>
      <c r="R41" s="9" t="str">
        <f aca="false">IF(OR(P41="",Q41=""),"",P41*Q41)</f>
        <v/>
      </c>
      <c r="S41" s="9" t="str">
        <f aca="false">IF(R41="","",IF(R41&gt;=Méthode!$C$26,"Critique",IF(R41&gt;=Méthode!$C$27,"Élevé",IF(R41&gt;=Méthode!$C$28,"Modéré","Faible"))))</f>
        <v/>
      </c>
      <c r="T41" s="16"/>
      <c r="U41" s="15"/>
    </row>
    <row r="42" customFormat="false" ht="15" hidden="false" customHeight="false" outlineLevel="0" collapsed="false">
      <c r="A42" s="9"/>
      <c r="B42" s="10"/>
      <c r="C42" s="10"/>
      <c r="D42" s="10"/>
      <c r="E42" s="9"/>
      <c r="F42" s="10"/>
      <c r="G42" s="10"/>
      <c r="H42" s="15"/>
      <c r="I42" s="15"/>
      <c r="J42" s="16"/>
      <c r="K42" s="9" t="str">
        <f aca="false">IF(OR(H42="",I42=""),"",H42*I42)</f>
        <v/>
      </c>
      <c r="L42" s="12" t="str">
        <f aca="false">IF(K42="","",IF(K42&gt;=Méthode!$C$26,"Critique",IF(K42&gt;=Méthode!$C$27,"Élevé",IF(K42&gt;=Méthode!$C$28,"Modéré","Faible"))))</f>
        <v/>
      </c>
      <c r="M42" s="9" t="str">
        <f aca="false">IF(K42="","",IF(K42&lt;=Méthode!$C$29,"Acceptable","À traiter"))</f>
        <v/>
      </c>
      <c r="N42" s="15"/>
      <c r="O42" s="10"/>
      <c r="P42" s="15"/>
      <c r="Q42" s="15"/>
      <c r="R42" s="9" t="str">
        <f aca="false">IF(OR(P42="",Q42=""),"",P42*Q42)</f>
        <v/>
      </c>
      <c r="S42" s="9" t="str">
        <f aca="false">IF(R42="","",IF(R42&gt;=Méthode!$C$26,"Critique",IF(R42&gt;=Méthode!$C$27,"Élevé",IF(R42&gt;=Méthode!$C$28,"Modéré","Faible"))))</f>
        <v/>
      </c>
      <c r="T42" s="16"/>
      <c r="U42" s="15"/>
    </row>
    <row r="43" customFormat="false" ht="15" hidden="false" customHeight="false" outlineLevel="0" collapsed="false">
      <c r="A43" s="9"/>
      <c r="B43" s="10"/>
      <c r="C43" s="10"/>
      <c r="D43" s="10"/>
      <c r="E43" s="9"/>
      <c r="F43" s="10"/>
      <c r="G43" s="10"/>
      <c r="H43" s="15"/>
      <c r="I43" s="15"/>
      <c r="J43" s="16"/>
      <c r="K43" s="9" t="str">
        <f aca="false">IF(OR(H43="",I43=""),"",H43*I43)</f>
        <v/>
      </c>
      <c r="L43" s="12" t="str">
        <f aca="false">IF(K43="","",IF(K43&gt;=Méthode!$C$26,"Critique",IF(K43&gt;=Méthode!$C$27,"Élevé",IF(K43&gt;=Méthode!$C$28,"Modéré","Faible"))))</f>
        <v/>
      </c>
      <c r="M43" s="9" t="str">
        <f aca="false">IF(K43="","",IF(K43&lt;=Méthode!$C$29,"Acceptable","À traiter"))</f>
        <v/>
      </c>
      <c r="N43" s="15"/>
      <c r="O43" s="10"/>
      <c r="P43" s="15"/>
      <c r="Q43" s="15"/>
      <c r="R43" s="9" t="str">
        <f aca="false">IF(OR(P43="",Q43=""),"",P43*Q43)</f>
        <v/>
      </c>
      <c r="S43" s="9" t="str">
        <f aca="false">IF(R43="","",IF(R43&gt;=Méthode!$C$26,"Critique",IF(R43&gt;=Méthode!$C$27,"Élevé",IF(R43&gt;=Méthode!$C$28,"Modéré","Faible"))))</f>
        <v/>
      </c>
      <c r="T43" s="16"/>
      <c r="U43" s="15"/>
    </row>
    <row r="44" customFormat="false" ht="15" hidden="false" customHeight="false" outlineLevel="0" collapsed="false">
      <c r="A44" s="9"/>
      <c r="B44" s="10"/>
      <c r="C44" s="10"/>
      <c r="D44" s="10"/>
      <c r="E44" s="9"/>
      <c r="F44" s="10"/>
      <c r="G44" s="10"/>
      <c r="H44" s="15"/>
      <c r="I44" s="15"/>
      <c r="J44" s="16"/>
      <c r="K44" s="9" t="str">
        <f aca="false">IF(OR(H44="",I44=""),"",H44*I44)</f>
        <v/>
      </c>
      <c r="L44" s="12" t="str">
        <f aca="false">IF(K44="","",IF(K44&gt;=Méthode!$C$26,"Critique",IF(K44&gt;=Méthode!$C$27,"Élevé",IF(K44&gt;=Méthode!$C$28,"Modéré","Faible"))))</f>
        <v/>
      </c>
      <c r="M44" s="9" t="str">
        <f aca="false">IF(K44="","",IF(K44&lt;=Méthode!$C$29,"Acceptable","À traiter"))</f>
        <v/>
      </c>
      <c r="N44" s="15"/>
      <c r="O44" s="10"/>
      <c r="P44" s="15"/>
      <c r="Q44" s="15"/>
      <c r="R44" s="9" t="str">
        <f aca="false">IF(OR(P44="",Q44=""),"",P44*Q44)</f>
        <v/>
      </c>
      <c r="S44" s="9" t="str">
        <f aca="false">IF(R44="","",IF(R44&gt;=Méthode!$C$26,"Critique",IF(R44&gt;=Méthode!$C$27,"Élevé",IF(R44&gt;=Méthode!$C$28,"Modéré","Faible"))))</f>
        <v/>
      </c>
      <c r="T44" s="16"/>
      <c r="U44" s="15"/>
    </row>
    <row r="45" customFormat="false" ht="15" hidden="false" customHeight="false" outlineLevel="0" collapsed="false">
      <c r="A45" s="9"/>
      <c r="B45" s="10"/>
      <c r="C45" s="10"/>
      <c r="D45" s="10"/>
      <c r="E45" s="9"/>
      <c r="F45" s="10"/>
      <c r="G45" s="10"/>
      <c r="H45" s="15"/>
      <c r="I45" s="15"/>
      <c r="J45" s="16"/>
      <c r="K45" s="9" t="str">
        <f aca="false">IF(OR(H45="",I45=""),"",H45*I45)</f>
        <v/>
      </c>
      <c r="L45" s="12" t="str">
        <f aca="false">IF(K45="","",IF(K45&gt;=Méthode!$C$26,"Critique",IF(K45&gt;=Méthode!$C$27,"Élevé",IF(K45&gt;=Méthode!$C$28,"Modéré","Faible"))))</f>
        <v/>
      </c>
      <c r="M45" s="9" t="str">
        <f aca="false">IF(K45="","",IF(K45&lt;=Méthode!$C$29,"Acceptable","À traiter"))</f>
        <v/>
      </c>
      <c r="N45" s="15"/>
      <c r="O45" s="10"/>
      <c r="P45" s="15"/>
      <c r="Q45" s="15"/>
      <c r="R45" s="9" t="str">
        <f aca="false">IF(OR(P45="",Q45=""),"",P45*Q45)</f>
        <v/>
      </c>
      <c r="S45" s="9" t="str">
        <f aca="false">IF(R45="","",IF(R45&gt;=Méthode!$C$26,"Critique",IF(R45&gt;=Méthode!$C$27,"Élevé",IF(R45&gt;=Méthode!$C$28,"Modéré","Faible"))))</f>
        <v/>
      </c>
      <c r="T45" s="16"/>
      <c r="U45" s="15"/>
    </row>
    <row r="46" customFormat="false" ht="15" hidden="false" customHeight="false" outlineLevel="0" collapsed="false">
      <c r="A46" s="9"/>
      <c r="B46" s="10"/>
      <c r="C46" s="10"/>
      <c r="D46" s="10"/>
      <c r="E46" s="9"/>
      <c r="F46" s="10"/>
      <c r="G46" s="10"/>
      <c r="H46" s="15"/>
      <c r="I46" s="15"/>
      <c r="J46" s="16"/>
      <c r="K46" s="9" t="str">
        <f aca="false">IF(OR(H46="",I46=""),"",H46*I46)</f>
        <v/>
      </c>
      <c r="L46" s="12" t="str">
        <f aca="false">IF(K46="","",IF(K46&gt;=Méthode!$C$26,"Critique",IF(K46&gt;=Méthode!$C$27,"Élevé",IF(K46&gt;=Méthode!$C$28,"Modéré","Faible"))))</f>
        <v/>
      </c>
      <c r="M46" s="9" t="str">
        <f aca="false">IF(K46="","",IF(K46&lt;=Méthode!$C$29,"Acceptable","À traiter"))</f>
        <v/>
      </c>
      <c r="N46" s="15"/>
      <c r="O46" s="10"/>
      <c r="P46" s="15"/>
      <c r="Q46" s="15"/>
      <c r="R46" s="9" t="str">
        <f aca="false">IF(OR(P46="",Q46=""),"",P46*Q46)</f>
        <v/>
      </c>
      <c r="S46" s="9" t="str">
        <f aca="false">IF(R46="","",IF(R46&gt;=Méthode!$C$26,"Critique",IF(R46&gt;=Méthode!$C$27,"Élevé",IF(R46&gt;=Méthode!$C$28,"Modéré","Faible"))))</f>
        <v/>
      </c>
      <c r="T46" s="16"/>
      <c r="U46" s="15"/>
    </row>
    <row r="47" customFormat="false" ht="15" hidden="false" customHeight="false" outlineLevel="0" collapsed="false">
      <c r="A47" s="9"/>
      <c r="B47" s="10"/>
      <c r="C47" s="10"/>
      <c r="D47" s="10"/>
      <c r="E47" s="9"/>
      <c r="F47" s="10"/>
      <c r="G47" s="10"/>
      <c r="H47" s="15"/>
      <c r="I47" s="15"/>
      <c r="J47" s="16"/>
      <c r="K47" s="9" t="str">
        <f aca="false">IF(OR(H47="",I47=""),"",H47*I47)</f>
        <v/>
      </c>
      <c r="L47" s="12" t="str">
        <f aca="false">IF(K47="","",IF(K47&gt;=Méthode!$C$26,"Critique",IF(K47&gt;=Méthode!$C$27,"Élevé",IF(K47&gt;=Méthode!$C$28,"Modéré","Faible"))))</f>
        <v/>
      </c>
      <c r="M47" s="9" t="str">
        <f aca="false">IF(K47="","",IF(K47&lt;=Méthode!$C$29,"Acceptable","À traiter"))</f>
        <v/>
      </c>
      <c r="N47" s="15"/>
      <c r="O47" s="10"/>
      <c r="P47" s="15"/>
      <c r="Q47" s="15"/>
      <c r="R47" s="9" t="str">
        <f aca="false">IF(OR(P47="",Q47=""),"",P47*Q47)</f>
        <v/>
      </c>
      <c r="S47" s="9" t="str">
        <f aca="false">IF(R47="","",IF(R47&gt;=Méthode!$C$26,"Critique",IF(R47&gt;=Méthode!$C$27,"Élevé",IF(R47&gt;=Méthode!$C$28,"Modéré","Faible"))))</f>
        <v/>
      </c>
      <c r="T47" s="16"/>
      <c r="U47" s="15"/>
    </row>
    <row r="48" customFormat="false" ht="15" hidden="false" customHeight="false" outlineLevel="0" collapsed="false">
      <c r="A48" s="9"/>
      <c r="B48" s="10"/>
      <c r="C48" s="10"/>
      <c r="D48" s="10"/>
      <c r="E48" s="9"/>
      <c r="F48" s="10"/>
      <c r="G48" s="10"/>
      <c r="H48" s="15"/>
      <c r="I48" s="15"/>
      <c r="J48" s="16"/>
      <c r="K48" s="9" t="str">
        <f aca="false">IF(OR(H48="",I48=""),"",H48*I48)</f>
        <v/>
      </c>
      <c r="L48" s="12" t="str">
        <f aca="false">IF(K48="","",IF(K48&gt;=Méthode!$C$26,"Critique",IF(K48&gt;=Méthode!$C$27,"Élevé",IF(K48&gt;=Méthode!$C$28,"Modéré","Faible"))))</f>
        <v/>
      </c>
      <c r="M48" s="9" t="str">
        <f aca="false">IF(K48="","",IF(K48&lt;=Méthode!$C$29,"Acceptable","À traiter"))</f>
        <v/>
      </c>
      <c r="N48" s="15"/>
      <c r="O48" s="10"/>
      <c r="P48" s="15"/>
      <c r="Q48" s="15"/>
      <c r="R48" s="9" t="str">
        <f aca="false">IF(OR(P48="",Q48=""),"",P48*Q48)</f>
        <v/>
      </c>
      <c r="S48" s="9" t="str">
        <f aca="false">IF(R48="","",IF(R48&gt;=Méthode!$C$26,"Critique",IF(R48&gt;=Méthode!$C$27,"Élevé",IF(R48&gt;=Méthode!$C$28,"Modéré","Faible"))))</f>
        <v/>
      </c>
      <c r="T48" s="16"/>
      <c r="U48" s="15"/>
    </row>
    <row r="49" customFormat="false" ht="15" hidden="false" customHeight="false" outlineLevel="0" collapsed="false">
      <c r="A49" s="9"/>
      <c r="B49" s="10"/>
      <c r="C49" s="10"/>
      <c r="D49" s="10"/>
      <c r="E49" s="9"/>
      <c r="F49" s="10"/>
      <c r="G49" s="10"/>
      <c r="H49" s="15"/>
      <c r="I49" s="15"/>
      <c r="J49" s="16"/>
      <c r="K49" s="9" t="str">
        <f aca="false">IF(OR(H49="",I49=""),"",H49*I49)</f>
        <v/>
      </c>
      <c r="L49" s="12" t="str">
        <f aca="false">IF(K49="","",IF(K49&gt;=Méthode!$C$26,"Critique",IF(K49&gt;=Méthode!$C$27,"Élevé",IF(K49&gt;=Méthode!$C$28,"Modéré","Faible"))))</f>
        <v/>
      </c>
      <c r="M49" s="9" t="str">
        <f aca="false">IF(K49="","",IF(K49&lt;=Méthode!$C$29,"Acceptable","À traiter"))</f>
        <v/>
      </c>
      <c r="N49" s="15"/>
      <c r="O49" s="10"/>
      <c r="P49" s="15"/>
      <c r="Q49" s="15"/>
      <c r="R49" s="9" t="str">
        <f aca="false">IF(OR(P49="",Q49=""),"",P49*Q49)</f>
        <v/>
      </c>
      <c r="S49" s="9" t="str">
        <f aca="false">IF(R49="","",IF(R49&gt;=Méthode!$C$26,"Critique",IF(R49&gt;=Méthode!$C$27,"Élevé",IF(R49&gt;=Méthode!$C$28,"Modéré","Faible"))))</f>
        <v/>
      </c>
      <c r="T49" s="16"/>
      <c r="U49" s="15"/>
    </row>
    <row r="50" customFormat="false" ht="15" hidden="false" customHeight="false" outlineLevel="0" collapsed="false">
      <c r="A50" s="9"/>
      <c r="B50" s="10"/>
      <c r="C50" s="10"/>
      <c r="D50" s="10"/>
      <c r="E50" s="9"/>
      <c r="F50" s="10"/>
      <c r="G50" s="10"/>
      <c r="H50" s="15"/>
      <c r="I50" s="15"/>
      <c r="J50" s="16"/>
      <c r="K50" s="9" t="str">
        <f aca="false">IF(OR(H50="",I50=""),"",H50*I50)</f>
        <v/>
      </c>
      <c r="L50" s="12" t="str">
        <f aca="false">IF(K50="","",IF(K50&gt;=Méthode!$C$26,"Critique",IF(K50&gt;=Méthode!$C$27,"Élevé",IF(K50&gt;=Méthode!$C$28,"Modéré","Faible"))))</f>
        <v/>
      </c>
      <c r="M50" s="9" t="str">
        <f aca="false">IF(K50="","",IF(K50&lt;=Méthode!$C$29,"Acceptable","À traiter"))</f>
        <v/>
      </c>
      <c r="N50" s="15"/>
      <c r="O50" s="10"/>
      <c r="P50" s="15"/>
      <c r="Q50" s="15"/>
      <c r="R50" s="9" t="str">
        <f aca="false">IF(OR(P50="",Q50=""),"",P50*Q50)</f>
        <v/>
      </c>
      <c r="S50" s="9" t="str">
        <f aca="false">IF(R50="","",IF(R50&gt;=Méthode!$C$26,"Critique",IF(R50&gt;=Méthode!$C$27,"Élevé",IF(R50&gt;=Méthode!$C$28,"Modéré","Faible"))))</f>
        <v/>
      </c>
      <c r="T50" s="16"/>
      <c r="U50" s="15"/>
    </row>
    <row r="51" customFormat="false" ht="15" hidden="false" customHeight="false" outlineLevel="0" collapsed="false">
      <c r="A51" s="9"/>
      <c r="B51" s="10"/>
      <c r="C51" s="10"/>
      <c r="D51" s="10"/>
      <c r="E51" s="9"/>
      <c r="F51" s="10"/>
      <c r="G51" s="10"/>
      <c r="H51" s="15"/>
      <c r="I51" s="15"/>
      <c r="J51" s="16"/>
      <c r="K51" s="9" t="str">
        <f aca="false">IF(OR(H51="",I51=""),"",H51*I51)</f>
        <v/>
      </c>
      <c r="L51" s="12" t="str">
        <f aca="false">IF(K51="","",IF(K51&gt;=Méthode!$C$26,"Critique",IF(K51&gt;=Méthode!$C$27,"Élevé",IF(K51&gt;=Méthode!$C$28,"Modéré","Faible"))))</f>
        <v/>
      </c>
      <c r="M51" s="9" t="str">
        <f aca="false">IF(K51="","",IF(K51&lt;=Méthode!$C$29,"Acceptable","À traiter"))</f>
        <v/>
      </c>
      <c r="N51" s="15"/>
      <c r="O51" s="10"/>
      <c r="P51" s="15"/>
      <c r="Q51" s="15"/>
      <c r="R51" s="9" t="str">
        <f aca="false">IF(OR(P51="",Q51=""),"",P51*Q51)</f>
        <v/>
      </c>
      <c r="S51" s="9" t="str">
        <f aca="false">IF(R51="","",IF(R51&gt;=Méthode!$C$26,"Critique",IF(R51&gt;=Méthode!$C$27,"Élevé",IF(R51&gt;=Méthode!$C$28,"Modéré","Faible"))))</f>
        <v/>
      </c>
      <c r="T51" s="16"/>
      <c r="U51" s="15"/>
    </row>
    <row r="52" customFormat="false" ht="15" hidden="false" customHeight="false" outlineLevel="0" collapsed="false">
      <c r="A52" s="9"/>
      <c r="B52" s="10"/>
      <c r="C52" s="10"/>
      <c r="D52" s="10"/>
      <c r="E52" s="9"/>
      <c r="F52" s="10"/>
      <c r="G52" s="10"/>
      <c r="H52" s="15"/>
      <c r="I52" s="15"/>
      <c r="J52" s="16"/>
      <c r="K52" s="9" t="str">
        <f aca="false">IF(OR(H52="",I52=""),"",H52*I52)</f>
        <v/>
      </c>
      <c r="L52" s="12" t="str">
        <f aca="false">IF(K52="","",IF(K52&gt;=Méthode!$C$26,"Critique",IF(K52&gt;=Méthode!$C$27,"Élevé",IF(K52&gt;=Méthode!$C$28,"Modéré","Faible"))))</f>
        <v/>
      </c>
      <c r="M52" s="9" t="str">
        <f aca="false">IF(K52="","",IF(K52&lt;=Méthode!$C$29,"Acceptable","À traiter"))</f>
        <v/>
      </c>
      <c r="N52" s="15"/>
      <c r="O52" s="10"/>
      <c r="P52" s="15"/>
      <c r="Q52" s="15"/>
      <c r="R52" s="9" t="str">
        <f aca="false">IF(OR(P52="",Q52=""),"",P52*Q52)</f>
        <v/>
      </c>
      <c r="S52" s="9" t="str">
        <f aca="false">IF(R52="","",IF(R52&gt;=Méthode!$C$26,"Critique",IF(R52&gt;=Méthode!$C$27,"Élevé",IF(R52&gt;=Méthode!$C$28,"Modéré","Faible"))))</f>
        <v/>
      </c>
      <c r="T52" s="16"/>
      <c r="U52" s="15"/>
    </row>
    <row r="53" customFormat="false" ht="15" hidden="false" customHeight="false" outlineLevel="0" collapsed="false">
      <c r="A53" s="9"/>
      <c r="B53" s="10"/>
      <c r="C53" s="10"/>
      <c r="D53" s="10"/>
      <c r="E53" s="9"/>
      <c r="F53" s="10"/>
      <c r="G53" s="10"/>
      <c r="H53" s="15"/>
      <c r="I53" s="15"/>
      <c r="J53" s="16"/>
      <c r="K53" s="9" t="str">
        <f aca="false">IF(OR(H53="",I53=""),"",H53*I53)</f>
        <v/>
      </c>
      <c r="L53" s="12" t="str">
        <f aca="false">IF(K53="","",IF(K53&gt;=Méthode!$C$26,"Critique",IF(K53&gt;=Méthode!$C$27,"Élevé",IF(K53&gt;=Méthode!$C$28,"Modéré","Faible"))))</f>
        <v/>
      </c>
      <c r="M53" s="9" t="str">
        <f aca="false">IF(K53="","",IF(K53&lt;=Méthode!$C$29,"Acceptable","À traiter"))</f>
        <v/>
      </c>
      <c r="N53" s="15"/>
      <c r="O53" s="10"/>
      <c r="P53" s="15"/>
      <c r="Q53" s="15"/>
      <c r="R53" s="9" t="str">
        <f aca="false">IF(OR(P53="",Q53=""),"",P53*Q53)</f>
        <v/>
      </c>
      <c r="S53" s="9" t="str">
        <f aca="false">IF(R53="","",IF(R53&gt;=Méthode!$C$26,"Critique",IF(R53&gt;=Méthode!$C$27,"Élevé",IF(R53&gt;=Méthode!$C$28,"Modéré","Faible"))))</f>
        <v/>
      </c>
      <c r="T53" s="16"/>
      <c r="U53" s="15"/>
    </row>
    <row r="54" customFormat="false" ht="15" hidden="false" customHeight="false" outlineLevel="0" collapsed="false">
      <c r="A54" s="9"/>
      <c r="B54" s="10"/>
      <c r="C54" s="10"/>
      <c r="D54" s="10"/>
      <c r="E54" s="9"/>
      <c r="F54" s="10"/>
      <c r="G54" s="10"/>
      <c r="H54" s="15"/>
      <c r="I54" s="15"/>
      <c r="J54" s="16"/>
      <c r="K54" s="9" t="str">
        <f aca="false">IF(OR(H54="",I54=""),"",H54*I54)</f>
        <v/>
      </c>
      <c r="L54" s="12" t="str">
        <f aca="false">IF(K54="","",IF(K54&gt;=Méthode!$C$26,"Critique",IF(K54&gt;=Méthode!$C$27,"Élevé",IF(K54&gt;=Méthode!$C$28,"Modéré","Faible"))))</f>
        <v/>
      </c>
      <c r="M54" s="9" t="str">
        <f aca="false">IF(K54="","",IF(K54&lt;=Méthode!$C$29,"Acceptable","À traiter"))</f>
        <v/>
      </c>
      <c r="N54" s="15"/>
      <c r="O54" s="10"/>
      <c r="P54" s="15"/>
      <c r="Q54" s="15"/>
      <c r="R54" s="9" t="str">
        <f aca="false">IF(OR(P54="",Q54=""),"",P54*Q54)</f>
        <v/>
      </c>
      <c r="S54" s="9" t="str">
        <f aca="false">IF(R54="","",IF(R54&gt;=Méthode!$C$26,"Critique",IF(R54&gt;=Méthode!$C$27,"Élevé",IF(R54&gt;=Méthode!$C$28,"Modéré","Faible"))))</f>
        <v/>
      </c>
      <c r="T54" s="16"/>
      <c r="U54" s="15"/>
    </row>
    <row r="55" customFormat="false" ht="15" hidden="false" customHeight="false" outlineLevel="0" collapsed="false">
      <c r="A55" s="9"/>
      <c r="B55" s="10"/>
      <c r="C55" s="10"/>
      <c r="D55" s="10"/>
      <c r="E55" s="9"/>
      <c r="F55" s="10"/>
      <c r="G55" s="10"/>
      <c r="H55" s="15"/>
      <c r="I55" s="15"/>
      <c r="J55" s="16"/>
      <c r="K55" s="9" t="str">
        <f aca="false">IF(OR(H55="",I55=""),"",H55*I55)</f>
        <v/>
      </c>
      <c r="L55" s="12" t="str">
        <f aca="false">IF(K55="","",IF(K55&gt;=Méthode!$C$26,"Critique",IF(K55&gt;=Méthode!$C$27,"Élevé",IF(K55&gt;=Méthode!$C$28,"Modéré","Faible"))))</f>
        <v/>
      </c>
      <c r="M55" s="9" t="str">
        <f aca="false">IF(K55="","",IF(K55&lt;=Méthode!$C$29,"Acceptable","À traiter"))</f>
        <v/>
      </c>
      <c r="N55" s="15"/>
      <c r="O55" s="10"/>
      <c r="P55" s="15"/>
      <c r="Q55" s="15"/>
      <c r="R55" s="9" t="str">
        <f aca="false">IF(OR(P55="",Q55=""),"",P55*Q55)</f>
        <v/>
      </c>
      <c r="S55" s="9" t="str">
        <f aca="false">IF(R55="","",IF(R55&gt;=Méthode!$C$26,"Critique",IF(R55&gt;=Méthode!$C$27,"Élevé",IF(R55&gt;=Méthode!$C$28,"Modéré","Faible"))))</f>
        <v/>
      </c>
      <c r="T55" s="16"/>
      <c r="U55" s="15"/>
    </row>
    <row r="56" customFormat="false" ht="15" hidden="false" customHeight="false" outlineLevel="0" collapsed="false">
      <c r="A56" s="9"/>
      <c r="B56" s="10"/>
      <c r="C56" s="10"/>
      <c r="D56" s="10"/>
      <c r="E56" s="9"/>
      <c r="F56" s="10"/>
      <c r="G56" s="10"/>
      <c r="H56" s="15"/>
      <c r="I56" s="15"/>
      <c r="J56" s="16"/>
      <c r="K56" s="9" t="str">
        <f aca="false">IF(OR(H56="",I56=""),"",H56*I56)</f>
        <v/>
      </c>
      <c r="L56" s="12" t="str">
        <f aca="false">IF(K56="","",IF(K56&gt;=Méthode!$C$26,"Critique",IF(K56&gt;=Méthode!$C$27,"Élevé",IF(K56&gt;=Méthode!$C$28,"Modéré","Faible"))))</f>
        <v/>
      </c>
      <c r="M56" s="9" t="str">
        <f aca="false">IF(K56="","",IF(K56&lt;=Méthode!$C$29,"Acceptable","À traiter"))</f>
        <v/>
      </c>
      <c r="N56" s="15"/>
      <c r="O56" s="10"/>
      <c r="P56" s="15"/>
      <c r="Q56" s="15"/>
      <c r="R56" s="9" t="str">
        <f aca="false">IF(OR(P56="",Q56=""),"",P56*Q56)</f>
        <v/>
      </c>
      <c r="S56" s="9" t="str">
        <f aca="false">IF(R56="","",IF(R56&gt;=Méthode!$C$26,"Critique",IF(R56&gt;=Méthode!$C$27,"Élevé",IF(R56&gt;=Méthode!$C$28,"Modéré","Faible"))))</f>
        <v/>
      </c>
      <c r="T56" s="16"/>
      <c r="U56" s="15"/>
    </row>
    <row r="57" customFormat="false" ht="15" hidden="false" customHeight="false" outlineLevel="0" collapsed="false">
      <c r="A57" s="9"/>
      <c r="B57" s="10"/>
      <c r="C57" s="10"/>
      <c r="D57" s="10"/>
      <c r="E57" s="9"/>
      <c r="F57" s="10"/>
      <c r="G57" s="10"/>
      <c r="H57" s="15"/>
      <c r="I57" s="15"/>
      <c r="J57" s="16"/>
      <c r="K57" s="9" t="str">
        <f aca="false">IF(OR(H57="",I57=""),"",H57*I57)</f>
        <v/>
      </c>
      <c r="L57" s="12" t="str">
        <f aca="false">IF(K57="","",IF(K57&gt;=Méthode!$C$26,"Critique",IF(K57&gt;=Méthode!$C$27,"Élevé",IF(K57&gt;=Méthode!$C$28,"Modéré","Faible"))))</f>
        <v/>
      </c>
      <c r="M57" s="9" t="str">
        <f aca="false">IF(K57="","",IF(K57&lt;=Méthode!$C$29,"Acceptable","À traiter"))</f>
        <v/>
      </c>
      <c r="N57" s="15"/>
      <c r="O57" s="10"/>
      <c r="P57" s="15"/>
      <c r="Q57" s="15"/>
      <c r="R57" s="9" t="str">
        <f aca="false">IF(OR(P57="",Q57=""),"",P57*Q57)</f>
        <v/>
      </c>
      <c r="S57" s="9" t="str">
        <f aca="false">IF(R57="","",IF(R57&gt;=Méthode!$C$26,"Critique",IF(R57&gt;=Méthode!$C$27,"Élevé",IF(R57&gt;=Méthode!$C$28,"Modéré","Faible"))))</f>
        <v/>
      </c>
      <c r="T57" s="16"/>
      <c r="U57" s="15"/>
    </row>
    <row r="58" customFormat="false" ht="15" hidden="false" customHeight="false" outlineLevel="0" collapsed="false">
      <c r="A58" s="9"/>
      <c r="B58" s="10"/>
      <c r="C58" s="10"/>
      <c r="D58" s="10"/>
      <c r="E58" s="9"/>
      <c r="F58" s="10"/>
      <c r="G58" s="10"/>
      <c r="H58" s="15"/>
      <c r="I58" s="15"/>
      <c r="J58" s="16"/>
      <c r="K58" s="9" t="str">
        <f aca="false">IF(OR(H58="",I58=""),"",H58*I58)</f>
        <v/>
      </c>
      <c r="L58" s="12" t="str">
        <f aca="false">IF(K58="","",IF(K58&gt;=Méthode!$C$26,"Critique",IF(K58&gt;=Méthode!$C$27,"Élevé",IF(K58&gt;=Méthode!$C$28,"Modéré","Faible"))))</f>
        <v/>
      </c>
      <c r="M58" s="9" t="str">
        <f aca="false">IF(K58="","",IF(K58&lt;=Méthode!$C$29,"Acceptable","À traiter"))</f>
        <v/>
      </c>
      <c r="N58" s="15"/>
      <c r="O58" s="10"/>
      <c r="P58" s="15"/>
      <c r="Q58" s="15"/>
      <c r="R58" s="9" t="str">
        <f aca="false">IF(OR(P58="",Q58=""),"",P58*Q58)</f>
        <v/>
      </c>
      <c r="S58" s="9" t="str">
        <f aca="false">IF(R58="","",IF(R58&gt;=Méthode!$C$26,"Critique",IF(R58&gt;=Méthode!$C$27,"Élevé",IF(R58&gt;=Méthode!$C$28,"Modéré","Faible"))))</f>
        <v/>
      </c>
      <c r="T58" s="16"/>
      <c r="U58" s="15"/>
    </row>
    <row r="59" customFormat="false" ht="15" hidden="false" customHeight="false" outlineLevel="0" collapsed="false">
      <c r="A59" s="9"/>
      <c r="B59" s="10"/>
      <c r="C59" s="10"/>
      <c r="D59" s="10"/>
      <c r="E59" s="9"/>
      <c r="F59" s="10"/>
      <c r="G59" s="10"/>
      <c r="H59" s="15"/>
      <c r="I59" s="15"/>
      <c r="J59" s="16"/>
      <c r="K59" s="9" t="str">
        <f aca="false">IF(OR(H59="",I59=""),"",H59*I59)</f>
        <v/>
      </c>
      <c r="L59" s="12" t="str">
        <f aca="false">IF(K59="","",IF(K59&gt;=Méthode!$C$26,"Critique",IF(K59&gt;=Méthode!$C$27,"Élevé",IF(K59&gt;=Méthode!$C$28,"Modéré","Faible"))))</f>
        <v/>
      </c>
      <c r="M59" s="9" t="str">
        <f aca="false">IF(K59="","",IF(K59&lt;=Méthode!$C$29,"Acceptable","À traiter"))</f>
        <v/>
      </c>
      <c r="N59" s="15"/>
      <c r="O59" s="10"/>
      <c r="P59" s="15"/>
      <c r="Q59" s="15"/>
      <c r="R59" s="9" t="str">
        <f aca="false">IF(OR(P59="",Q59=""),"",P59*Q59)</f>
        <v/>
      </c>
      <c r="S59" s="9" t="str">
        <f aca="false">IF(R59="","",IF(R59&gt;=Méthode!$C$26,"Critique",IF(R59&gt;=Méthode!$C$27,"Élevé",IF(R59&gt;=Méthode!$C$28,"Modéré","Faible"))))</f>
        <v/>
      </c>
      <c r="T59" s="16"/>
      <c r="U59" s="15"/>
    </row>
    <row r="60" customFormat="false" ht="15" hidden="false" customHeight="false" outlineLevel="0" collapsed="false">
      <c r="A60" s="9"/>
      <c r="B60" s="10"/>
      <c r="C60" s="10"/>
      <c r="D60" s="10"/>
      <c r="E60" s="9"/>
      <c r="F60" s="10"/>
      <c r="G60" s="10"/>
      <c r="H60" s="15"/>
      <c r="I60" s="15"/>
      <c r="J60" s="16"/>
      <c r="K60" s="9" t="str">
        <f aca="false">IF(OR(H60="",I60=""),"",H60*I60)</f>
        <v/>
      </c>
      <c r="L60" s="12" t="str">
        <f aca="false">IF(K60="","",IF(K60&gt;=Méthode!$C$26,"Critique",IF(K60&gt;=Méthode!$C$27,"Élevé",IF(K60&gt;=Méthode!$C$28,"Modéré","Faible"))))</f>
        <v/>
      </c>
      <c r="M60" s="9" t="str">
        <f aca="false">IF(K60="","",IF(K60&lt;=Méthode!$C$29,"Acceptable","À traiter"))</f>
        <v/>
      </c>
      <c r="N60" s="15"/>
      <c r="O60" s="10"/>
      <c r="P60" s="15"/>
      <c r="Q60" s="15"/>
      <c r="R60" s="9" t="str">
        <f aca="false">IF(OR(P60="",Q60=""),"",P60*Q60)</f>
        <v/>
      </c>
      <c r="S60" s="9" t="str">
        <f aca="false">IF(R60="","",IF(R60&gt;=Méthode!$C$26,"Critique",IF(R60&gt;=Méthode!$C$27,"Élevé",IF(R60&gt;=Méthode!$C$28,"Modéré","Faible"))))</f>
        <v/>
      </c>
      <c r="T60" s="16"/>
      <c r="U60" s="15"/>
    </row>
  </sheetData>
  <autoFilter ref="A4:U60"/>
  <conditionalFormatting sqref="L5:L60">
    <cfRule type="cellIs" priority="2" operator="equal" aboveAverage="0" equalAverage="0" bottom="0" percent="0" rank="0" text="" dxfId="0">
      <formula>"Critique"</formula>
    </cfRule>
    <cfRule type="cellIs" priority="3" operator="equal" aboveAverage="0" equalAverage="0" bottom="0" percent="0" rank="0" text="" dxfId="1">
      <formula>"Élevé"</formula>
    </cfRule>
    <cfRule type="cellIs" priority="4" operator="equal" aboveAverage="0" equalAverage="0" bottom="0" percent="0" rank="0" text="" dxfId="2">
      <formula>"Modéré"</formula>
    </cfRule>
    <cfRule type="cellIs" priority="5" operator="equal" aboveAverage="0" equalAverage="0" bottom="0" percent="0" rank="0" text="" dxfId="3">
      <formula>"Faible"</formula>
    </cfRule>
  </conditionalFormatting>
  <conditionalFormatting sqref="S5:S60">
    <cfRule type="cellIs" priority="6" operator="equal" aboveAverage="0" equalAverage="0" bottom="0" percent="0" rank="0" text="" dxfId="0">
      <formula>"Critique"</formula>
    </cfRule>
    <cfRule type="cellIs" priority="7" operator="equal" aboveAverage="0" equalAverage="0" bottom="0" percent="0" rank="0" text="" dxfId="1">
      <formula>"Élevé"</formula>
    </cfRule>
    <cfRule type="cellIs" priority="8" operator="equal" aboveAverage="0" equalAverage="0" bottom="0" percent="0" rank="0" text="" dxfId="2">
      <formula>"Modéré"</formula>
    </cfRule>
    <cfRule type="cellIs" priority="9" operator="equal" aboveAverage="0" equalAverage="0" bottom="0" percent="0" rank="0" text="" dxfId="3">
      <formula>"Faible"</formula>
    </cfRule>
  </conditionalFormatting>
  <dataValidations count="3">
    <dataValidation allowBlank="true" errorStyle="stop" operator="between" showDropDown="false" showErrorMessage="false" showInputMessage="false" sqref="H5:I60 P5:Q60" type="list">
      <formula1>"1,2,3,4"</formula1>
      <formula2>0</formula2>
    </dataValidation>
    <dataValidation allowBlank="true" errorStyle="stop" operator="between" showDropDown="false" showErrorMessage="false" showInputMessage="false" sqref="N5:N60" type="list">
      <formula1>"Réduire,Accepter,Transférer,Éviter"</formula1>
      <formula2>0</formula2>
    </dataValidation>
    <dataValidation allowBlank="true" errorStyle="stop" operator="between" showDropDown="false" showErrorMessage="false" showInputMessage="false" sqref="U5:U60" type="list">
      <formula1>"À évaluer,Évalué,Traité,Accepté"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64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5" t="s">
        <v>173</v>
      </c>
    </row>
    <row r="2" customFormat="false" ht="15" hidden="false" customHeight="false" outlineLevel="0" collapsed="false">
      <c r="A2" s="6" t="s">
        <v>174</v>
      </c>
    </row>
    <row r="4" customFormat="false" ht="39.75" hidden="false" customHeight="true" outlineLevel="0" collapsed="false">
      <c r="A4" s="14" t="s">
        <v>175</v>
      </c>
      <c r="B4" s="14" t="s">
        <v>176</v>
      </c>
      <c r="C4" s="14" t="s">
        <v>177</v>
      </c>
      <c r="D4" s="14" t="s">
        <v>178</v>
      </c>
      <c r="E4" s="14" t="s">
        <v>179</v>
      </c>
      <c r="F4" s="14" t="s">
        <v>180</v>
      </c>
      <c r="G4" s="14" t="s">
        <v>181</v>
      </c>
      <c r="H4" s="14" t="s">
        <v>182</v>
      </c>
      <c r="I4" s="14" t="s">
        <v>65</v>
      </c>
      <c r="J4" s="14" t="s">
        <v>183</v>
      </c>
    </row>
    <row r="5" customFormat="false" ht="23.85" hidden="false" customHeight="false" outlineLevel="0" collapsed="false">
      <c r="A5" s="17" t="s">
        <v>184</v>
      </c>
      <c r="B5" s="15" t="s">
        <v>66</v>
      </c>
      <c r="C5" s="15" t="s">
        <v>74</v>
      </c>
      <c r="D5" s="16" t="s">
        <v>185</v>
      </c>
      <c r="E5" s="16" t="s">
        <v>186</v>
      </c>
      <c r="F5" s="16" t="s">
        <v>108</v>
      </c>
      <c r="G5" s="15" t="s">
        <v>187</v>
      </c>
      <c r="H5" s="15" t="s">
        <v>188</v>
      </c>
      <c r="I5" s="15" t="s">
        <v>189</v>
      </c>
      <c r="J5" s="16" t="s">
        <v>190</v>
      </c>
    </row>
    <row r="6" customFormat="false" ht="23.85" hidden="false" customHeight="false" outlineLevel="0" collapsed="false">
      <c r="A6" s="17" t="s">
        <v>191</v>
      </c>
      <c r="B6" s="15" t="s">
        <v>66</v>
      </c>
      <c r="C6" s="15" t="s">
        <v>74</v>
      </c>
      <c r="D6" s="16" t="s">
        <v>192</v>
      </c>
      <c r="E6" s="16" t="s">
        <v>193</v>
      </c>
      <c r="F6" s="16" t="s">
        <v>71</v>
      </c>
      <c r="G6" s="15" t="s">
        <v>194</v>
      </c>
      <c r="H6" s="15" t="s">
        <v>188</v>
      </c>
      <c r="I6" s="15" t="s">
        <v>189</v>
      </c>
      <c r="J6" s="16" t="s">
        <v>195</v>
      </c>
    </row>
    <row r="7" customFormat="false" ht="23.85" hidden="false" customHeight="false" outlineLevel="0" collapsed="false">
      <c r="A7" s="17" t="s">
        <v>196</v>
      </c>
      <c r="B7" s="15" t="s">
        <v>66</v>
      </c>
      <c r="C7" s="15" t="s">
        <v>74</v>
      </c>
      <c r="D7" s="16" t="s">
        <v>197</v>
      </c>
      <c r="E7" s="16" t="s">
        <v>198</v>
      </c>
      <c r="F7" s="16" t="s">
        <v>108</v>
      </c>
      <c r="G7" s="15" t="s">
        <v>199</v>
      </c>
      <c r="H7" s="15" t="s">
        <v>188</v>
      </c>
      <c r="I7" s="15" t="s">
        <v>189</v>
      </c>
      <c r="J7" s="16" t="s">
        <v>200</v>
      </c>
    </row>
    <row r="8" customFormat="false" ht="23.85" hidden="false" customHeight="false" outlineLevel="0" collapsed="false">
      <c r="A8" s="17" t="s">
        <v>201</v>
      </c>
      <c r="B8" s="15" t="s">
        <v>66</v>
      </c>
      <c r="C8" s="15" t="s">
        <v>74</v>
      </c>
      <c r="D8" s="16" t="s">
        <v>202</v>
      </c>
      <c r="E8" s="16" t="s">
        <v>203</v>
      </c>
      <c r="F8" s="16" t="s">
        <v>108</v>
      </c>
      <c r="G8" s="15" t="s">
        <v>204</v>
      </c>
      <c r="H8" s="15" t="s">
        <v>205</v>
      </c>
      <c r="I8" s="15" t="s">
        <v>189</v>
      </c>
      <c r="J8" s="16" t="s">
        <v>206</v>
      </c>
    </row>
    <row r="9" customFormat="false" ht="23.85" hidden="false" customHeight="false" outlineLevel="0" collapsed="false">
      <c r="A9" s="17" t="s">
        <v>207</v>
      </c>
      <c r="B9" s="15" t="s">
        <v>66</v>
      </c>
      <c r="C9" s="15" t="s">
        <v>74</v>
      </c>
      <c r="D9" s="16" t="s">
        <v>208</v>
      </c>
      <c r="E9" s="16" t="s">
        <v>209</v>
      </c>
      <c r="F9" s="16" t="s">
        <v>71</v>
      </c>
      <c r="G9" s="15" t="s">
        <v>187</v>
      </c>
      <c r="H9" s="15" t="s">
        <v>188</v>
      </c>
      <c r="I9" s="15" t="s">
        <v>189</v>
      </c>
      <c r="J9" s="16" t="s">
        <v>210</v>
      </c>
    </row>
    <row r="10" customFormat="false" ht="23.85" hidden="false" customHeight="false" outlineLevel="0" collapsed="false">
      <c r="A10" s="17" t="s">
        <v>211</v>
      </c>
      <c r="B10" s="15" t="s">
        <v>78</v>
      </c>
      <c r="C10" s="15" t="s">
        <v>74</v>
      </c>
      <c r="D10" s="16" t="s">
        <v>212</v>
      </c>
      <c r="E10" s="16" t="s">
        <v>213</v>
      </c>
      <c r="F10" s="16" t="s">
        <v>71</v>
      </c>
      <c r="G10" s="15" t="s">
        <v>194</v>
      </c>
      <c r="H10" s="15" t="s">
        <v>188</v>
      </c>
      <c r="I10" s="15" t="s">
        <v>189</v>
      </c>
      <c r="J10" s="16" t="s">
        <v>214</v>
      </c>
    </row>
    <row r="11" customFormat="false" ht="23.85" hidden="false" customHeight="false" outlineLevel="0" collapsed="false">
      <c r="A11" s="17" t="s">
        <v>215</v>
      </c>
      <c r="B11" s="15" t="s">
        <v>78</v>
      </c>
      <c r="C11" s="15" t="s">
        <v>74</v>
      </c>
      <c r="D11" s="16" t="s">
        <v>216</v>
      </c>
      <c r="E11" s="16" t="s">
        <v>217</v>
      </c>
      <c r="F11" s="16" t="s">
        <v>71</v>
      </c>
      <c r="G11" s="15" t="s">
        <v>187</v>
      </c>
      <c r="H11" s="15" t="s">
        <v>188</v>
      </c>
      <c r="I11" s="15" t="s">
        <v>189</v>
      </c>
      <c r="J11" s="16" t="s">
        <v>218</v>
      </c>
    </row>
    <row r="12" customFormat="false" ht="23.85" hidden="false" customHeight="false" outlineLevel="0" collapsed="false">
      <c r="A12" s="17" t="s">
        <v>219</v>
      </c>
      <c r="B12" s="15" t="s">
        <v>78</v>
      </c>
      <c r="C12" s="15" t="s">
        <v>74</v>
      </c>
      <c r="D12" s="16" t="s">
        <v>220</v>
      </c>
      <c r="E12" s="16" t="s">
        <v>221</v>
      </c>
      <c r="F12" s="16" t="s">
        <v>71</v>
      </c>
      <c r="G12" s="15" t="s">
        <v>222</v>
      </c>
      <c r="H12" s="15" t="s">
        <v>188</v>
      </c>
      <c r="I12" s="15" t="s">
        <v>189</v>
      </c>
      <c r="J12" s="16" t="s">
        <v>223</v>
      </c>
    </row>
    <row r="13" customFormat="false" ht="23.85" hidden="false" customHeight="false" outlineLevel="0" collapsed="false">
      <c r="A13" s="17" t="s">
        <v>224</v>
      </c>
      <c r="B13" s="15" t="s">
        <v>78</v>
      </c>
      <c r="C13" s="15" t="s">
        <v>74</v>
      </c>
      <c r="D13" s="16" t="s">
        <v>225</v>
      </c>
      <c r="E13" s="16" t="s">
        <v>226</v>
      </c>
      <c r="F13" s="16" t="s">
        <v>71</v>
      </c>
      <c r="G13" s="15" t="s">
        <v>204</v>
      </c>
      <c r="H13" s="15" t="s">
        <v>205</v>
      </c>
      <c r="I13" s="15" t="s">
        <v>189</v>
      </c>
      <c r="J13" s="16" t="s">
        <v>227</v>
      </c>
    </row>
    <row r="14" customFormat="false" ht="23.85" hidden="false" customHeight="false" outlineLevel="0" collapsed="false">
      <c r="A14" s="17" t="s">
        <v>228</v>
      </c>
      <c r="B14" s="15" t="s">
        <v>86</v>
      </c>
      <c r="C14" s="15" t="s">
        <v>74</v>
      </c>
      <c r="D14" s="16" t="s">
        <v>229</v>
      </c>
      <c r="E14" s="16" t="s">
        <v>230</v>
      </c>
      <c r="F14" s="16" t="s">
        <v>108</v>
      </c>
      <c r="G14" s="15" t="s">
        <v>231</v>
      </c>
      <c r="H14" s="15" t="s">
        <v>188</v>
      </c>
      <c r="I14" s="15" t="s">
        <v>189</v>
      </c>
      <c r="J14" s="16" t="s">
        <v>232</v>
      </c>
    </row>
    <row r="15" customFormat="false" ht="23.85" hidden="false" customHeight="false" outlineLevel="0" collapsed="false">
      <c r="A15" s="17" t="s">
        <v>233</v>
      </c>
      <c r="B15" s="15" t="s">
        <v>86</v>
      </c>
      <c r="C15" s="15" t="s">
        <v>74</v>
      </c>
      <c r="D15" s="16" t="s">
        <v>234</v>
      </c>
      <c r="E15" s="16" t="s">
        <v>198</v>
      </c>
      <c r="F15" s="16" t="s">
        <v>71</v>
      </c>
      <c r="G15" s="15" t="s">
        <v>187</v>
      </c>
      <c r="H15" s="15" t="s">
        <v>205</v>
      </c>
      <c r="I15" s="15" t="s">
        <v>189</v>
      </c>
      <c r="J15" s="16" t="s">
        <v>235</v>
      </c>
    </row>
    <row r="16" customFormat="false" ht="23.85" hidden="false" customHeight="false" outlineLevel="0" collapsed="false">
      <c r="A16" s="17" t="s">
        <v>236</v>
      </c>
      <c r="B16" s="15" t="s">
        <v>95</v>
      </c>
      <c r="C16" s="15" t="s">
        <v>74</v>
      </c>
      <c r="D16" s="16" t="s">
        <v>237</v>
      </c>
      <c r="E16" s="16" t="s">
        <v>238</v>
      </c>
      <c r="F16" s="16" t="s">
        <v>99</v>
      </c>
      <c r="G16" s="15" t="s">
        <v>231</v>
      </c>
      <c r="H16" s="15" t="s">
        <v>188</v>
      </c>
      <c r="I16" s="15" t="s">
        <v>189</v>
      </c>
      <c r="J16" s="16" t="s">
        <v>239</v>
      </c>
    </row>
    <row r="17" customFormat="false" ht="23.85" hidden="false" customHeight="false" outlineLevel="0" collapsed="false">
      <c r="A17" s="17" t="s">
        <v>240</v>
      </c>
      <c r="B17" s="15" t="s">
        <v>95</v>
      </c>
      <c r="C17" s="15" t="s">
        <v>74</v>
      </c>
      <c r="D17" s="16" t="s">
        <v>241</v>
      </c>
      <c r="E17" s="16" t="s">
        <v>242</v>
      </c>
      <c r="F17" s="16" t="s">
        <v>99</v>
      </c>
      <c r="G17" s="15" t="s">
        <v>187</v>
      </c>
      <c r="H17" s="15" t="s">
        <v>188</v>
      </c>
      <c r="I17" s="15" t="s">
        <v>189</v>
      </c>
      <c r="J17" s="16" t="s">
        <v>243</v>
      </c>
    </row>
    <row r="18" customFormat="false" ht="23.85" hidden="false" customHeight="false" outlineLevel="0" collapsed="false">
      <c r="A18" s="17" t="s">
        <v>112</v>
      </c>
      <c r="B18" s="15" t="s">
        <v>104</v>
      </c>
      <c r="C18" s="15" t="s">
        <v>74</v>
      </c>
      <c r="D18" s="16" t="s">
        <v>244</v>
      </c>
      <c r="E18" s="16" t="s">
        <v>245</v>
      </c>
      <c r="F18" s="16" t="s">
        <v>108</v>
      </c>
      <c r="G18" s="15" t="s">
        <v>231</v>
      </c>
      <c r="H18" s="15" t="s">
        <v>205</v>
      </c>
      <c r="I18" s="15" t="s">
        <v>189</v>
      </c>
      <c r="J18" s="16" t="s">
        <v>246</v>
      </c>
    </row>
    <row r="19" customFormat="false" ht="23.85" hidden="false" customHeight="false" outlineLevel="0" collapsed="false">
      <c r="A19" s="17" t="s">
        <v>247</v>
      </c>
      <c r="B19" s="15" t="s">
        <v>113</v>
      </c>
      <c r="C19" s="15" t="s">
        <v>74</v>
      </c>
      <c r="D19" s="16" t="s">
        <v>248</v>
      </c>
      <c r="E19" s="16" t="s">
        <v>249</v>
      </c>
      <c r="F19" s="16" t="s">
        <v>99</v>
      </c>
      <c r="G19" s="15" t="s">
        <v>222</v>
      </c>
      <c r="H19" s="15" t="s">
        <v>205</v>
      </c>
      <c r="I19" s="15" t="s">
        <v>189</v>
      </c>
      <c r="J19" s="16" t="s">
        <v>250</v>
      </c>
    </row>
    <row r="20" customFormat="false" ht="15" hidden="false" customHeight="false" outlineLevel="0" collapsed="false">
      <c r="A20" s="17" t="s">
        <v>251</v>
      </c>
      <c r="B20" s="15" t="s">
        <v>113</v>
      </c>
      <c r="C20" s="15" t="s">
        <v>74</v>
      </c>
      <c r="D20" s="16" t="s">
        <v>252</v>
      </c>
      <c r="E20" s="16" t="s">
        <v>253</v>
      </c>
      <c r="F20" s="16" t="s">
        <v>99</v>
      </c>
      <c r="G20" s="15" t="s">
        <v>222</v>
      </c>
      <c r="H20" s="15" t="s">
        <v>205</v>
      </c>
      <c r="I20" s="15" t="s">
        <v>189</v>
      </c>
      <c r="J20" s="16" t="s">
        <v>254</v>
      </c>
    </row>
    <row r="21" customFormat="false" ht="23.85" hidden="false" customHeight="false" outlineLevel="0" collapsed="false">
      <c r="A21" s="17" t="s">
        <v>255</v>
      </c>
      <c r="B21" s="15" t="s">
        <v>113</v>
      </c>
      <c r="C21" s="15" t="s">
        <v>74</v>
      </c>
      <c r="D21" s="16" t="s">
        <v>256</v>
      </c>
      <c r="E21" s="16" t="s">
        <v>257</v>
      </c>
      <c r="F21" s="16" t="s">
        <v>99</v>
      </c>
      <c r="G21" s="15" t="s">
        <v>187</v>
      </c>
      <c r="H21" s="15" t="s">
        <v>205</v>
      </c>
      <c r="I21" s="15" t="s">
        <v>189</v>
      </c>
      <c r="J21" s="16" t="s">
        <v>258</v>
      </c>
    </row>
    <row r="22" customFormat="false" ht="23.85" hidden="false" customHeight="false" outlineLevel="0" collapsed="false">
      <c r="A22" s="17" t="s">
        <v>259</v>
      </c>
      <c r="B22" s="15" t="s">
        <v>121</v>
      </c>
      <c r="C22" s="15" t="s">
        <v>74</v>
      </c>
      <c r="D22" s="16" t="s">
        <v>260</v>
      </c>
      <c r="E22" s="16" t="s">
        <v>261</v>
      </c>
      <c r="F22" s="16" t="s">
        <v>108</v>
      </c>
      <c r="G22" s="15" t="s">
        <v>187</v>
      </c>
      <c r="H22" s="15" t="s">
        <v>188</v>
      </c>
      <c r="I22" s="15" t="s">
        <v>189</v>
      </c>
      <c r="J22" s="16" t="s">
        <v>262</v>
      </c>
    </row>
    <row r="23" customFormat="false" ht="23.85" hidden="false" customHeight="false" outlineLevel="0" collapsed="false">
      <c r="A23" s="17" t="s">
        <v>263</v>
      </c>
      <c r="B23" s="15" t="s">
        <v>121</v>
      </c>
      <c r="C23" s="15" t="s">
        <v>74</v>
      </c>
      <c r="D23" s="16" t="s">
        <v>264</v>
      </c>
      <c r="E23" s="16" t="s">
        <v>265</v>
      </c>
      <c r="F23" s="16" t="s">
        <v>108</v>
      </c>
      <c r="G23" s="15" t="s">
        <v>204</v>
      </c>
      <c r="H23" s="15" t="s">
        <v>188</v>
      </c>
      <c r="I23" s="15" t="s">
        <v>189</v>
      </c>
      <c r="J23" s="16" t="s">
        <v>266</v>
      </c>
    </row>
    <row r="24" customFormat="false" ht="23.85" hidden="false" customHeight="false" outlineLevel="0" collapsed="false">
      <c r="A24" s="17" t="s">
        <v>267</v>
      </c>
      <c r="B24" s="15" t="s">
        <v>130</v>
      </c>
      <c r="C24" s="15" t="s">
        <v>74</v>
      </c>
      <c r="D24" s="16" t="s">
        <v>268</v>
      </c>
      <c r="E24" s="16" t="s">
        <v>269</v>
      </c>
      <c r="F24" s="16" t="s">
        <v>71</v>
      </c>
      <c r="G24" s="15" t="s">
        <v>204</v>
      </c>
      <c r="H24" s="15" t="s">
        <v>188</v>
      </c>
      <c r="I24" s="15" t="s">
        <v>189</v>
      </c>
      <c r="J24" s="16" t="s">
        <v>270</v>
      </c>
    </row>
    <row r="25" customFormat="false" ht="23.85" hidden="false" customHeight="false" outlineLevel="0" collapsed="false">
      <c r="A25" s="17" t="s">
        <v>271</v>
      </c>
      <c r="B25" s="15" t="s">
        <v>130</v>
      </c>
      <c r="C25" s="15" t="s">
        <v>74</v>
      </c>
      <c r="D25" s="16" t="s">
        <v>272</v>
      </c>
      <c r="E25" s="16" t="s">
        <v>273</v>
      </c>
      <c r="F25" s="16" t="s">
        <v>108</v>
      </c>
      <c r="G25" s="15" t="s">
        <v>274</v>
      </c>
      <c r="H25" s="15" t="s">
        <v>205</v>
      </c>
      <c r="I25" s="15" t="s">
        <v>189</v>
      </c>
      <c r="J25" s="16" t="s">
        <v>275</v>
      </c>
    </row>
    <row r="26" customFormat="false" ht="23.85" hidden="false" customHeight="false" outlineLevel="0" collapsed="false">
      <c r="A26" s="17" t="s">
        <v>146</v>
      </c>
      <c r="B26" s="15" t="s">
        <v>138</v>
      </c>
      <c r="C26" s="15" t="s">
        <v>74</v>
      </c>
      <c r="D26" s="16" t="s">
        <v>276</v>
      </c>
      <c r="E26" s="16" t="s">
        <v>145</v>
      </c>
      <c r="F26" s="16" t="s">
        <v>277</v>
      </c>
      <c r="G26" s="15" t="s">
        <v>187</v>
      </c>
      <c r="H26" s="15" t="s">
        <v>188</v>
      </c>
      <c r="I26" s="15" t="s">
        <v>189</v>
      </c>
      <c r="J26" s="16" t="s">
        <v>278</v>
      </c>
    </row>
    <row r="27" customFormat="false" ht="23.85" hidden="false" customHeight="false" outlineLevel="0" collapsed="false">
      <c r="A27" s="17" t="s">
        <v>279</v>
      </c>
      <c r="B27" s="15" t="s">
        <v>147</v>
      </c>
      <c r="C27" s="15" t="s">
        <v>74</v>
      </c>
      <c r="D27" s="16" t="s">
        <v>280</v>
      </c>
      <c r="E27" s="16" t="s">
        <v>281</v>
      </c>
      <c r="F27" s="16" t="s">
        <v>71</v>
      </c>
      <c r="G27" s="15" t="s">
        <v>231</v>
      </c>
      <c r="H27" s="15" t="s">
        <v>205</v>
      </c>
      <c r="I27" s="15" t="s">
        <v>189</v>
      </c>
      <c r="J27" s="16" t="s">
        <v>282</v>
      </c>
    </row>
    <row r="28" customFormat="false" ht="23.85" hidden="false" customHeight="false" outlineLevel="0" collapsed="false">
      <c r="A28" s="17" t="s">
        <v>283</v>
      </c>
      <c r="B28" s="15" t="s">
        <v>147</v>
      </c>
      <c r="C28" s="15" t="s">
        <v>74</v>
      </c>
      <c r="D28" s="16" t="s">
        <v>284</v>
      </c>
      <c r="E28" s="16" t="s">
        <v>285</v>
      </c>
      <c r="F28" s="16" t="s">
        <v>99</v>
      </c>
      <c r="G28" s="15" t="s">
        <v>231</v>
      </c>
      <c r="H28" s="15" t="s">
        <v>205</v>
      </c>
      <c r="I28" s="15" t="s">
        <v>189</v>
      </c>
      <c r="J28" s="16" t="s">
        <v>286</v>
      </c>
    </row>
    <row r="29" customFormat="false" ht="23.85" hidden="false" customHeight="false" outlineLevel="0" collapsed="false">
      <c r="A29" s="17" t="s">
        <v>287</v>
      </c>
      <c r="B29" s="15" t="s">
        <v>147</v>
      </c>
      <c r="C29" s="15" t="s">
        <v>74</v>
      </c>
      <c r="D29" s="16" t="s">
        <v>288</v>
      </c>
      <c r="E29" s="16" t="s">
        <v>289</v>
      </c>
      <c r="F29" s="16" t="s">
        <v>71</v>
      </c>
      <c r="G29" s="15" t="s">
        <v>187</v>
      </c>
      <c r="H29" s="15" t="s">
        <v>188</v>
      </c>
      <c r="I29" s="15" t="s">
        <v>189</v>
      </c>
      <c r="J29" s="16" t="s">
        <v>290</v>
      </c>
    </row>
    <row r="30" customFormat="false" ht="23.85" hidden="false" customHeight="false" outlineLevel="0" collapsed="false">
      <c r="A30" s="17" t="s">
        <v>291</v>
      </c>
      <c r="B30" s="15" t="s">
        <v>156</v>
      </c>
      <c r="C30" s="15" t="s">
        <v>74</v>
      </c>
      <c r="D30" s="16" t="s">
        <v>292</v>
      </c>
      <c r="E30" s="16" t="s">
        <v>293</v>
      </c>
      <c r="F30" s="16" t="s">
        <v>160</v>
      </c>
      <c r="G30" s="15" t="s">
        <v>199</v>
      </c>
      <c r="H30" s="15" t="s">
        <v>188</v>
      </c>
      <c r="I30" s="15" t="s">
        <v>189</v>
      </c>
      <c r="J30" s="16" t="s">
        <v>294</v>
      </c>
    </row>
    <row r="31" customFormat="false" ht="23.85" hidden="false" customHeight="false" outlineLevel="0" collapsed="false">
      <c r="A31" s="17" t="s">
        <v>295</v>
      </c>
      <c r="B31" s="15" t="s">
        <v>156</v>
      </c>
      <c r="C31" s="15" t="s">
        <v>74</v>
      </c>
      <c r="D31" s="16" t="s">
        <v>296</v>
      </c>
      <c r="E31" s="16" t="s">
        <v>297</v>
      </c>
      <c r="F31" s="16" t="s">
        <v>71</v>
      </c>
      <c r="G31" s="15" t="s">
        <v>194</v>
      </c>
      <c r="H31" s="15" t="s">
        <v>205</v>
      </c>
      <c r="I31" s="15" t="s">
        <v>189</v>
      </c>
      <c r="J31" s="16" t="s">
        <v>298</v>
      </c>
    </row>
    <row r="32" customFormat="false" ht="23.85" hidden="false" customHeight="false" outlineLevel="0" collapsed="false">
      <c r="A32" s="17" t="s">
        <v>299</v>
      </c>
      <c r="B32" s="15" t="s">
        <v>156</v>
      </c>
      <c r="C32" s="15" t="s">
        <v>74</v>
      </c>
      <c r="D32" s="16" t="s">
        <v>300</v>
      </c>
      <c r="E32" s="16" t="s">
        <v>301</v>
      </c>
      <c r="F32" s="16" t="s">
        <v>71</v>
      </c>
      <c r="G32" s="15" t="s">
        <v>274</v>
      </c>
      <c r="H32" s="15" t="s">
        <v>205</v>
      </c>
      <c r="I32" s="15" t="s">
        <v>189</v>
      </c>
      <c r="J32" s="16" t="s">
        <v>302</v>
      </c>
    </row>
    <row r="33" customFormat="false" ht="23.85" hidden="false" customHeight="false" outlineLevel="0" collapsed="false">
      <c r="A33" s="17" t="s">
        <v>303</v>
      </c>
      <c r="B33" s="15" t="s">
        <v>156</v>
      </c>
      <c r="C33" s="15" t="s">
        <v>74</v>
      </c>
      <c r="D33" s="16" t="s">
        <v>304</v>
      </c>
      <c r="E33" s="16" t="s">
        <v>305</v>
      </c>
      <c r="F33" s="16" t="s">
        <v>71</v>
      </c>
      <c r="G33" s="15" t="s">
        <v>222</v>
      </c>
      <c r="H33" s="15" t="s">
        <v>205</v>
      </c>
      <c r="I33" s="15" t="s">
        <v>189</v>
      </c>
      <c r="J33" s="16" t="s">
        <v>306</v>
      </c>
    </row>
    <row r="34" customFormat="false" ht="35.05" hidden="false" customHeight="false" outlineLevel="0" collapsed="false">
      <c r="A34" s="17" t="s">
        <v>307</v>
      </c>
      <c r="B34" s="15" t="s">
        <v>156</v>
      </c>
      <c r="C34" s="15" t="s">
        <v>74</v>
      </c>
      <c r="D34" s="16" t="s">
        <v>308</v>
      </c>
      <c r="E34" s="16" t="s">
        <v>309</v>
      </c>
      <c r="F34" s="16" t="s">
        <v>71</v>
      </c>
      <c r="G34" s="15" t="s">
        <v>204</v>
      </c>
      <c r="H34" s="15" t="s">
        <v>205</v>
      </c>
      <c r="I34" s="15" t="s">
        <v>189</v>
      </c>
      <c r="J34" s="16" t="s">
        <v>310</v>
      </c>
    </row>
    <row r="35" customFormat="false" ht="35.05" hidden="false" customHeight="false" outlineLevel="0" collapsed="false">
      <c r="A35" s="17" t="s">
        <v>311</v>
      </c>
      <c r="B35" s="15" t="s">
        <v>78</v>
      </c>
      <c r="C35" s="15" t="s">
        <v>74</v>
      </c>
      <c r="D35" s="16" t="s">
        <v>312</v>
      </c>
      <c r="E35" s="16" t="s">
        <v>313</v>
      </c>
      <c r="F35" s="16" t="s">
        <v>71</v>
      </c>
      <c r="G35" s="15" t="s">
        <v>231</v>
      </c>
      <c r="H35" s="15" t="s">
        <v>205</v>
      </c>
      <c r="I35" s="15" t="s">
        <v>189</v>
      </c>
      <c r="J35" s="16" t="s">
        <v>314</v>
      </c>
    </row>
    <row r="36" customFormat="false" ht="35.05" hidden="false" customHeight="false" outlineLevel="0" collapsed="false">
      <c r="A36" s="17" t="s">
        <v>315</v>
      </c>
      <c r="B36" s="15" t="s">
        <v>156</v>
      </c>
      <c r="C36" s="15" t="s">
        <v>74</v>
      </c>
      <c r="D36" s="16" t="s">
        <v>316</v>
      </c>
      <c r="E36" s="16" t="s">
        <v>317</v>
      </c>
      <c r="F36" s="16" t="s">
        <v>318</v>
      </c>
      <c r="G36" s="15" t="s">
        <v>204</v>
      </c>
      <c r="H36" s="15" t="s">
        <v>205</v>
      </c>
      <c r="I36" s="15" t="s">
        <v>189</v>
      </c>
      <c r="J36" s="16" t="s">
        <v>319</v>
      </c>
    </row>
    <row r="37" customFormat="false" ht="35.05" hidden="false" customHeight="false" outlineLevel="0" collapsed="false">
      <c r="A37" s="17" t="s">
        <v>320</v>
      </c>
      <c r="B37" s="15" t="s">
        <v>66</v>
      </c>
      <c r="C37" s="15" t="s">
        <v>74</v>
      </c>
      <c r="D37" s="16" t="s">
        <v>321</v>
      </c>
      <c r="E37" s="16" t="s">
        <v>322</v>
      </c>
      <c r="F37" s="16" t="s">
        <v>108</v>
      </c>
      <c r="G37" s="15" t="s">
        <v>231</v>
      </c>
      <c r="H37" s="15" t="s">
        <v>205</v>
      </c>
      <c r="I37" s="15" t="s">
        <v>189</v>
      </c>
      <c r="J37" s="16" t="s">
        <v>323</v>
      </c>
    </row>
    <row r="38" customFormat="false" ht="35.05" hidden="false" customHeight="false" outlineLevel="0" collapsed="false">
      <c r="A38" s="17" t="s">
        <v>324</v>
      </c>
      <c r="B38" s="15" t="s">
        <v>113</v>
      </c>
      <c r="C38" s="15" t="s">
        <v>74</v>
      </c>
      <c r="D38" s="16" t="s">
        <v>325</v>
      </c>
      <c r="E38" s="16" t="s">
        <v>326</v>
      </c>
      <c r="F38" s="16" t="s">
        <v>99</v>
      </c>
      <c r="G38" s="15" t="s">
        <v>231</v>
      </c>
      <c r="H38" s="15" t="s">
        <v>205</v>
      </c>
      <c r="I38" s="15" t="s">
        <v>189</v>
      </c>
      <c r="J38" s="16" t="s">
        <v>327</v>
      </c>
    </row>
    <row r="39" customFormat="false" ht="35.05" hidden="false" customHeight="false" outlineLevel="0" collapsed="false">
      <c r="A39" s="17" t="s">
        <v>328</v>
      </c>
      <c r="B39" s="15" t="s">
        <v>147</v>
      </c>
      <c r="C39" s="15" t="s">
        <v>74</v>
      </c>
      <c r="D39" s="16" t="s">
        <v>329</v>
      </c>
      <c r="E39" s="16" t="s">
        <v>330</v>
      </c>
      <c r="F39" s="16" t="s">
        <v>71</v>
      </c>
      <c r="G39" s="15" t="s">
        <v>204</v>
      </c>
      <c r="H39" s="15" t="s">
        <v>205</v>
      </c>
      <c r="I39" s="15" t="s">
        <v>189</v>
      </c>
      <c r="J39" s="16" t="s">
        <v>331</v>
      </c>
    </row>
    <row r="40" customFormat="false" ht="35.05" hidden="false" customHeight="false" outlineLevel="0" collapsed="false">
      <c r="A40" s="17" t="s">
        <v>172</v>
      </c>
      <c r="B40" s="15" t="s">
        <v>165</v>
      </c>
      <c r="C40" s="15" t="s">
        <v>74</v>
      </c>
      <c r="D40" s="16" t="s">
        <v>332</v>
      </c>
      <c r="E40" s="16" t="s">
        <v>333</v>
      </c>
      <c r="F40" s="16" t="s">
        <v>108</v>
      </c>
      <c r="G40" s="15" t="s">
        <v>204</v>
      </c>
      <c r="H40" s="15" t="s">
        <v>205</v>
      </c>
      <c r="I40" s="15" t="s">
        <v>189</v>
      </c>
      <c r="J40" s="16" t="s">
        <v>334</v>
      </c>
    </row>
    <row r="41" customFormat="false" ht="15" hidden="false" customHeight="false" outlineLevel="0" collapsed="false">
      <c r="A41" s="15"/>
      <c r="B41" s="15"/>
      <c r="C41" s="15"/>
      <c r="D41" s="16"/>
      <c r="E41" s="16"/>
      <c r="F41" s="16"/>
      <c r="G41" s="15"/>
      <c r="H41" s="15"/>
      <c r="I41" s="15"/>
      <c r="J41" s="16"/>
    </row>
    <row r="42" customFormat="false" ht="15" hidden="false" customHeight="false" outlineLevel="0" collapsed="false">
      <c r="A42" s="15"/>
      <c r="B42" s="15"/>
      <c r="C42" s="15"/>
      <c r="D42" s="16"/>
      <c r="E42" s="16"/>
      <c r="F42" s="16"/>
      <c r="G42" s="15"/>
      <c r="H42" s="15"/>
      <c r="I42" s="15"/>
      <c r="J42" s="16"/>
    </row>
    <row r="43" customFormat="false" ht="15" hidden="false" customHeight="false" outlineLevel="0" collapsed="false">
      <c r="A43" s="15"/>
      <c r="B43" s="15"/>
      <c r="C43" s="15"/>
      <c r="D43" s="16"/>
      <c r="E43" s="16"/>
      <c r="F43" s="16"/>
      <c r="G43" s="15"/>
      <c r="H43" s="15"/>
      <c r="I43" s="15"/>
      <c r="J43" s="16"/>
    </row>
    <row r="44" customFormat="false" ht="15" hidden="false" customHeight="false" outlineLevel="0" collapsed="false">
      <c r="A44" s="15"/>
      <c r="B44" s="15"/>
      <c r="C44" s="15"/>
      <c r="D44" s="16"/>
      <c r="E44" s="16"/>
      <c r="F44" s="16"/>
      <c r="G44" s="15"/>
      <c r="H44" s="15"/>
      <c r="I44" s="15"/>
      <c r="J44" s="16"/>
    </row>
  </sheetData>
  <dataValidations count="3">
    <dataValidation allowBlank="true" errorStyle="stop" operator="between" showDropDown="false" showErrorMessage="false" showInputMessage="false" sqref="C5:C44" type="list">
      <formula1>"Réduire,Accepter,Transférer,Éviter"</formula1>
      <formula2>0</formula2>
    </dataValidation>
    <dataValidation allowBlank="true" errorStyle="stop" operator="between" showDropDown="false" showErrorMessage="false" showInputMessage="false" sqref="H5:H44" type="list">
      <formula1>"Haute,Moyenne,Faible"</formula1>
      <formula2>0</formula2>
    </dataValidation>
    <dataValidation allowBlank="true" errorStyle="stop" operator="between" showDropDown="false" showErrorMessage="false" showInputMessage="false" sqref="I5:I44" type="list">
      <formula1>"À planifier,En cours,Terminée"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5" t="s">
        <v>335</v>
      </c>
    </row>
    <row r="2" customFormat="false" ht="15" hidden="false" customHeight="false" outlineLevel="0" collapsed="false">
      <c r="A2" s="6" t="s">
        <v>336</v>
      </c>
    </row>
    <row r="3" customFormat="false" ht="15" hidden="false" customHeight="false" outlineLevel="0" collapsed="false">
      <c r="A3" s="18" t="s">
        <v>337</v>
      </c>
      <c r="B3" s="19" t="n">
        <f aca="false">COUNTIF(D7:D99,"Oui")</f>
        <v>88</v>
      </c>
      <c r="C3" s="18" t="s">
        <v>338</v>
      </c>
      <c r="D3" s="19" t="n">
        <f aca="false">COUNTIF(D7:D99,"Non")</f>
        <v>5</v>
      </c>
      <c r="E3" s="18" t="s">
        <v>339</v>
      </c>
      <c r="F3" s="19" t="n">
        <f aca="false">COUNTA(A7:A99)-B3-D3</f>
        <v>0</v>
      </c>
    </row>
    <row r="4" customFormat="false" ht="15" hidden="false" customHeight="false" outlineLevel="0" collapsed="false">
      <c r="A4" s="18" t="s">
        <v>340</v>
      </c>
      <c r="B4" s="19" t="n">
        <f aca="false">COUNTIF(I7:I99,"Implémentée")</f>
        <v>5</v>
      </c>
      <c r="C4" s="18" t="s">
        <v>341</v>
      </c>
      <c r="D4" s="19" t="n">
        <f aca="false">COUNTIF(I7:I99,"Partielle")</f>
        <v>52</v>
      </c>
      <c r="E4" s="18" t="s">
        <v>342</v>
      </c>
      <c r="F4" s="19" t="n">
        <f aca="false">COUNTIF(I7:I99,"À planifier")</f>
        <v>31</v>
      </c>
    </row>
    <row r="6" customFormat="false" ht="39.75" hidden="false" customHeight="true" outlineLevel="0" collapsed="false">
      <c r="A6" s="8" t="s">
        <v>343</v>
      </c>
      <c r="B6" s="8" t="s">
        <v>344</v>
      </c>
      <c r="C6" s="8" t="s">
        <v>345</v>
      </c>
      <c r="D6" s="14" t="s">
        <v>346</v>
      </c>
      <c r="E6" s="14" t="s">
        <v>347</v>
      </c>
      <c r="F6" s="8" t="s">
        <v>348</v>
      </c>
      <c r="G6" s="8" t="s">
        <v>51</v>
      </c>
      <c r="H6" s="8" t="s">
        <v>64</v>
      </c>
      <c r="I6" s="14" t="s">
        <v>349</v>
      </c>
      <c r="J6" s="14" t="s">
        <v>350</v>
      </c>
    </row>
    <row r="7" customFormat="false" ht="23.85" hidden="false" customHeight="false" outlineLevel="0" collapsed="false">
      <c r="A7" s="11" t="s">
        <v>351</v>
      </c>
      <c r="B7" s="10" t="s">
        <v>352</v>
      </c>
      <c r="C7" s="10" t="s">
        <v>353</v>
      </c>
      <c r="D7" s="15" t="s">
        <v>354</v>
      </c>
      <c r="E7" s="16" t="s">
        <v>355</v>
      </c>
      <c r="F7" s="10" t="s">
        <v>156</v>
      </c>
      <c r="G7" s="10" t="s">
        <v>356</v>
      </c>
      <c r="H7" s="10" t="s">
        <v>307</v>
      </c>
      <c r="I7" s="15" t="s">
        <v>357</v>
      </c>
      <c r="J7" s="16" t="s">
        <v>358</v>
      </c>
    </row>
    <row r="8" customFormat="false" ht="23.85" hidden="false" customHeight="false" outlineLevel="0" collapsed="false">
      <c r="A8" s="11" t="s">
        <v>359</v>
      </c>
      <c r="B8" s="10" t="s">
        <v>352</v>
      </c>
      <c r="C8" s="10" t="s">
        <v>360</v>
      </c>
      <c r="D8" s="15" t="s">
        <v>354</v>
      </c>
      <c r="E8" s="16" t="s">
        <v>361</v>
      </c>
      <c r="F8" s="10" t="s">
        <v>156</v>
      </c>
      <c r="G8" s="10" t="s">
        <v>362</v>
      </c>
      <c r="H8" s="10" t="s">
        <v>291</v>
      </c>
      <c r="I8" s="15" t="s">
        <v>357</v>
      </c>
      <c r="J8" s="16" t="s">
        <v>363</v>
      </c>
    </row>
    <row r="9" customFormat="false" ht="23.85" hidden="false" customHeight="false" outlineLevel="0" collapsed="false">
      <c r="A9" s="11" t="s">
        <v>364</v>
      </c>
      <c r="B9" s="10" t="s">
        <v>352</v>
      </c>
      <c r="C9" s="10" t="s">
        <v>365</v>
      </c>
      <c r="D9" s="15" t="s">
        <v>354</v>
      </c>
      <c r="E9" s="16" t="s">
        <v>366</v>
      </c>
      <c r="F9" s="10" t="s">
        <v>66</v>
      </c>
      <c r="G9" s="10" t="s">
        <v>367</v>
      </c>
      <c r="H9" s="10" t="s">
        <v>320</v>
      </c>
      <c r="I9" s="15" t="s">
        <v>357</v>
      </c>
      <c r="J9" s="16" t="s">
        <v>368</v>
      </c>
    </row>
    <row r="10" customFormat="false" ht="23.85" hidden="false" customHeight="false" outlineLevel="0" collapsed="false">
      <c r="A10" s="11" t="s">
        <v>369</v>
      </c>
      <c r="B10" s="10" t="s">
        <v>352</v>
      </c>
      <c r="C10" s="10" t="s">
        <v>370</v>
      </c>
      <c r="D10" s="15" t="s">
        <v>354</v>
      </c>
      <c r="E10" s="16" t="s">
        <v>371</v>
      </c>
      <c r="F10" s="10" t="s">
        <v>156</v>
      </c>
      <c r="G10" s="10" t="s">
        <v>372</v>
      </c>
      <c r="H10" s="10" t="s">
        <v>373</v>
      </c>
      <c r="I10" s="15" t="s">
        <v>357</v>
      </c>
      <c r="J10" s="16" t="s">
        <v>374</v>
      </c>
    </row>
    <row r="11" customFormat="false" ht="23.85" hidden="false" customHeight="false" outlineLevel="0" collapsed="false">
      <c r="A11" s="11" t="s">
        <v>375</v>
      </c>
      <c r="B11" s="10" t="s">
        <v>352</v>
      </c>
      <c r="C11" s="10" t="s">
        <v>376</v>
      </c>
      <c r="D11" s="15" t="s">
        <v>354</v>
      </c>
      <c r="E11" s="16" t="s">
        <v>377</v>
      </c>
      <c r="F11" s="10" t="s">
        <v>138</v>
      </c>
      <c r="G11" s="10"/>
      <c r="H11" s="10" t="s">
        <v>311</v>
      </c>
      <c r="I11" s="15" t="s">
        <v>189</v>
      </c>
      <c r="J11" s="16" t="s">
        <v>378</v>
      </c>
    </row>
    <row r="12" customFormat="false" ht="23.85" hidden="false" customHeight="false" outlineLevel="0" collapsed="false">
      <c r="A12" s="11" t="s">
        <v>379</v>
      </c>
      <c r="B12" s="10" t="s">
        <v>352</v>
      </c>
      <c r="C12" s="10" t="s">
        <v>380</v>
      </c>
      <c r="D12" s="15" t="s">
        <v>354</v>
      </c>
      <c r="E12" s="16" t="s">
        <v>381</v>
      </c>
      <c r="F12" s="10" t="s">
        <v>78</v>
      </c>
      <c r="G12" s="10"/>
      <c r="H12" s="10" t="s">
        <v>311</v>
      </c>
      <c r="I12" s="15" t="s">
        <v>189</v>
      </c>
      <c r="J12" s="16" t="s">
        <v>382</v>
      </c>
    </row>
    <row r="13" customFormat="false" ht="23.85" hidden="false" customHeight="false" outlineLevel="0" collapsed="false">
      <c r="A13" s="11" t="s">
        <v>383</v>
      </c>
      <c r="B13" s="10" t="s">
        <v>352</v>
      </c>
      <c r="C13" s="10" t="s">
        <v>384</v>
      </c>
      <c r="D13" s="15" t="s">
        <v>354</v>
      </c>
      <c r="E13" s="16" t="s">
        <v>385</v>
      </c>
      <c r="F13" s="10" t="s">
        <v>78</v>
      </c>
      <c r="G13" s="10"/>
      <c r="H13" s="10" t="s">
        <v>311</v>
      </c>
      <c r="I13" s="15" t="s">
        <v>357</v>
      </c>
      <c r="J13" s="16" t="s">
        <v>386</v>
      </c>
    </row>
    <row r="14" customFormat="false" ht="23.85" hidden="false" customHeight="false" outlineLevel="0" collapsed="false">
      <c r="A14" s="11" t="s">
        <v>387</v>
      </c>
      <c r="B14" s="10" t="s">
        <v>352</v>
      </c>
      <c r="C14" s="10" t="s">
        <v>388</v>
      </c>
      <c r="D14" s="15" t="s">
        <v>354</v>
      </c>
      <c r="E14" s="16" t="s">
        <v>389</v>
      </c>
      <c r="F14" s="10" t="s">
        <v>390</v>
      </c>
      <c r="G14" s="10"/>
      <c r="H14" s="10" t="s">
        <v>324</v>
      </c>
      <c r="I14" s="15" t="s">
        <v>189</v>
      </c>
      <c r="J14" s="16" t="s">
        <v>391</v>
      </c>
    </row>
    <row r="15" customFormat="false" ht="15" hidden="false" customHeight="false" outlineLevel="0" collapsed="false">
      <c r="A15" s="11" t="s">
        <v>392</v>
      </c>
      <c r="B15" s="10" t="s">
        <v>352</v>
      </c>
      <c r="C15" s="10" t="s">
        <v>393</v>
      </c>
      <c r="D15" s="15" t="s">
        <v>354</v>
      </c>
      <c r="E15" s="16" t="s">
        <v>394</v>
      </c>
      <c r="F15" s="10" t="s">
        <v>147</v>
      </c>
      <c r="G15" s="10" t="s">
        <v>395</v>
      </c>
      <c r="H15" s="10" t="s">
        <v>287</v>
      </c>
      <c r="I15" s="15" t="s">
        <v>357</v>
      </c>
      <c r="J15" s="16" t="s">
        <v>396</v>
      </c>
    </row>
    <row r="16" customFormat="false" ht="23.85" hidden="false" customHeight="false" outlineLevel="0" collapsed="false">
      <c r="A16" s="11" t="s">
        <v>397</v>
      </c>
      <c r="B16" s="10" t="s">
        <v>352</v>
      </c>
      <c r="C16" s="10" t="s">
        <v>398</v>
      </c>
      <c r="D16" s="15" t="s">
        <v>354</v>
      </c>
      <c r="E16" s="16" t="s">
        <v>399</v>
      </c>
      <c r="F16" s="10" t="s">
        <v>147</v>
      </c>
      <c r="G16" s="10"/>
      <c r="H16" s="10"/>
      <c r="I16" s="15" t="s">
        <v>400</v>
      </c>
      <c r="J16" s="16" t="s">
        <v>401</v>
      </c>
    </row>
    <row r="17" customFormat="false" ht="23.85" hidden="false" customHeight="false" outlineLevel="0" collapsed="false">
      <c r="A17" s="11" t="s">
        <v>402</v>
      </c>
      <c r="B17" s="10" t="s">
        <v>352</v>
      </c>
      <c r="C17" s="10" t="s">
        <v>403</v>
      </c>
      <c r="D17" s="15" t="s">
        <v>354</v>
      </c>
      <c r="E17" s="16" t="s">
        <v>404</v>
      </c>
      <c r="F17" s="10" t="s">
        <v>86</v>
      </c>
      <c r="G17" s="10"/>
      <c r="H17" s="10" t="s">
        <v>328</v>
      </c>
      <c r="I17" s="15" t="s">
        <v>357</v>
      </c>
      <c r="J17" s="16" t="s">
        <v>405</v>
      </c>
    </row>
    <row r="18" customFormat="false" ht="23.85" hidden="false" customHeight="false" outlineLevel="0" collapsed="false">
      <c r="A18" s="11" t="s">
        <v>406</v>
      </c>
      <c r="B18" s="10" t="s">
        <v>352</v>
      </c>
      <c r="C18" s="10" t="s">
        <v>407</v>
      </c>
      <c r="D18" s="15" t="s">
        <v>354</v>
      </c>
      <c r="E18" s="16" t="s">
        <v>408</v>
      </c>
      <c r="F18" s="10" t="s">
        <v>147</v>
      </c>
      <c r="G18" s="10" t="s">
        <v>409</v>
      </c>
      <c r="H18" s="10" t="s">
        <v>279</v>
      </c>
      <c r="I18" s="15" t="s">
        <v>357</v>
      </c>
      <c r="J18" s="16" t="s">
        <v>410</v>
      </c>
    </row>
    <row r="19" customFormat="false" ht="15" hidden="false" customHeight="false" outlineLevel="0" collapsed="false">
      <c r="A19" s="11" t="s">
        <v>411</v>
      </c>
      <c r="B19" s="10" t="s">
        <v>352</v>
      </c>
      <c r="C19" s="10" t="s">
        <v>412</v>
      </c>
      <c r="D19" s="15" t="s">
        <v>354</v>
      </c>
      <c r="E19" s="16" t="s">
        <v>413</v>
      </c>
      <c r="F19" s="10" t="s">
        <v>147</v>
      </c>
      <c r="G19" s="10" t="s">
        <v>409</v>
      </c>
      <c r="H19" s="10" t="s">
        <v>279</v>
      </c>
      <c r="I19" s="15" t="s">
        <v>357</v>
      </c>
      <c r="J19" s="16" t="s">
        <v>414</v>
      </c>
    </row>
    <row r="20" customFormat="false" ht="23.85" hidden="false" customHeight="false" outlineLevel="0" collapsed="false">
      <c r="A20" s="11" t="s">
        <v>415</v>
      </c>
      <c r="B20" s="10" t="s">
        <v>352</v>
      </c>
      <c r="C20" s="10" t="s">
        <v>416</v>
      </c>
      <c r="D20" s="15" t="s">
        <v>354</v>
      </c>
      <c r="E20" s="16" t="s">
        <v>417</v>
      </c>
      <c r="F20" s="10" t="s">
        <v>147</v>
      </c>
      <c r="G20" s="10" t="s">
        <v>409</v>
      </c>
      <c r="H20" s="10" t="s">
        <v>279</v>
      </c>
      <c r="I20" s="15" t="s">
        <v>357</v>
      </c>
      <c r="J20" s="16" t="s">
        <v>418</v>
      </c>
    </row>
    <row r="21" customFormat="false" ht="23.85" hidden="false" customHeight="false" outlineLevel="0" collapsed="false">
      <c r="A21" s="11" t="s">
        <v>419</v>
      </c>
      <c r="B21" s="10" t="s">
        <v>352</v>
      </c>
      <c r="C21" s="10" t="s">
        <v>420</v>
      </c>
      <c r="D21" s="15" t="s">
        <v>354</v>
      </c>
      <c r="E21" s="16" t="s">
        <v>421</v>
      </c>
      <c r="F21" s="10" t="s">
        <v>66</v>
      </c>
      <c r="G21" s="10" t="s">
        <v>367</v>
      </c>
      <c r="H21" s="10" t="s">
        <v>320</v>
      </c>
      <c r="I21" s="15" t="s">
        <v>357</v>
      </c>
      <c r="J21" s="16" t="s">
        <v>422</v>
      </c>
    </row>
    <row r="22" customFormat="false" ht="23.85" hidden="false" customHeight="false" outlineLevel="0" collapsed="false">
      <c r="A22" s="11" t="s">
        <v>423</v>
      </c>
      <c r="B22" s="10" t="s">
        <v>352</v>
      </c>
      <c r="C22" s="10" t="s">
        <v>424</v>
      </c>
      <c r="D22" s="15" t="s">
        <v>354</v>
      </c>
      <c r="E22" s="16" t="s">
        <v>425</v>
      </c>
      <c r="F22" s="10" t="s">
        <v>426</v>
      </c>
      <c r="G22" s="10" t="s">
        <v>427</v>
      </c>
      <c r="H22" s="10" t="s">
        <v>228</v>
      </c>
      <c r="I22" s="15" t="s">
        <v>357</v>
      </c>
      <c r="J22" s="16" t="s">
        <v>428</v>
      </c>
    </row>
    <row r="23" customFormat="false" ht="15" hidden="false" customHeight="false" outlineLevel="0" collapsed="false">
      <c r="A23" s="11" t="s">
        <v>429</v>
      </c>
      <c r="B23" s="10" t="s">
        <v>352</v>
      </c>
      <c r="C23" s="10" t="s">
        <v>430</v>
      </c>
      <c r="D23" s="15" t="s">
        <v>354</v>
      </c>
      <c r="E23" s="16" t="s">
        <v>431</v>
      </c>
      <c r="F23" s="10" t="s">
        <v>95</v>
      </c>
      <c r="G23" s="10" t="s">
        <v>432</v>
      </c>
      <c r="H23" s="10" t="s">
        <v>433</v>
      </c>
      <c r="I23" s="15" t="s">
        <v>357</v>
      </c>
      <c r="J23" s="16" t="s">
        <v>434</v>
      </c>
    </row>
    <row r="24" customFormat="false" ht="23.85" hidden="false" customHeight="false" outlineLevel="0" collapsed="false">
      <c r="A24" s="11" t="s">
        <v>435</v>
      </c>
      <c r="B24" s="10" t="s">
        <v>352</v>
      </c>
      <c r="C24" s="10" t="s">
        <v>436</v>
      </c>
      <c r="D24" s="15" t="s">
        <v>354</v>
      </c>
      <c r="E24" s="16" t="s">
        <v>437</v>
      </c>
      <c r="F24" s="10" t="s">
        <v>426</v>
      </c>
      <c r="G24" s="10" t="s">
        <v>91</v>
      </c>
      <c r="H24" s="10" t="s">
        <v>438</v>
      </c>
      <c r="I24" s="15" t="s">
        <v>357</v>
      </c>
      <c r="J24" s="16" t="s">
        <v>439</v>
      </c>
    </row>
    <row r="25" customFormat="false" ht="23.85" hidden="false" customHeight="false" outlineLevel="0" collapsed="false">
      <c r="A25" s="11" t="s">
        <v>440</v>
      </c>
      <c r="B25" s="10" t="s">
        <v>352</v>
      </c>
      <c r="C25" s="10" t="s">
        <v>441</v>
      </c>
      <c r="D25" s="15" t="s">
        <v>354</v>
      </c>
      <c r="E25" s="16" t="s">
        <v>442</v>
      </c>
      <c r="F25" s="10" t="s">
        <v>130</v>
      </c>
      <c r="G25" s="10" t="s">
        <v>443</v>
      </c>
      <c r="H25" s="10" t="s">
        <v>267</v>
      </c>
      <c r="I25" s="15" t="s">
        <v>357</v>
      </c>
      <c r="J25" s="16" t="s">
        <v>444</v>
      </c>
    </row>
    <row r="26" customFormat="false" ht="23.85" hidden="false" customHeight="false" outlineLevel="0" collapsed="false">
      <c r="A26" s="11" t="s">
        <v>445</v>
      </c>
      <c r="B26" s="10" t="s">
        <v>352</v>
      </c>
      <c r="C26" s="10" t="s">
        <v>446</v>
      </c>
      <c r="D26" s="15" t="s">
        <v>354</v>
      </c>
      <c r="E26" s="16" t="s">
        <v>447</v>
      </c>
      <c r="F26" s="10" t="s">
        <v>130</v>
      </c>
      <c r="G26" s="10" t="s">
        <v>448</v>
      </c>
      <c r="H26" s="10" t="s">
        <v>449</v>
      </c>
      <c r="I26" s="15" t="s">
        <v>357</v>
      </c>
      <c r="J26" s="16" t="s">
        <v>450</v>
      </c>
    </row>
    <row r="27" customFormat="false" ht="23.85" hidden="false" customHeight="false" outlineLevel="0" collapsed="false">
      <c r="A27" s="11" t="s">
        <v>451</v>
      </c>
      <c r="B27" s="10" t="s">
        <v>352</v>
      </c>
      <c r="C27" s="10" t="s">
        <v>452</v>
      </c>
      <c r="D27" s="15" t="s">
        <v>354</v>
      </c>
      <c r="E27" s="16" t="s">
        <v>453</v>
      </c>
      <c r="F27" s="10" t="s">
        <v>454</v>
      </c>
      <c r="G27" s="10" t="s">
        <v>455</v>
      </c>
      <c r="H27" s="10" t="s">
        <v>271</v>
      </c>
      <c r="I27" s="15" t="s">
        <v>357</v>
      </c>
      <c r="J27" s="16" t="s">
        <v>456</v>
      </c>
    </row>
    <row r="28" customFormat="false" ht="23.85" hidden="false" customHeight="false" outlineLevel="0" collapsed="false">
      <c r="A28" s="11" t="s">
        <v>457</v>
      </c>
      <c r="B28" s="10" t="s">
        <v>352</v>
      </c>
      <c r="C28" s="10" t="s">
        <v>458</v>
      </c>
      <c r="D28" s="15" t="s">
        <v>354</v>
      </c>
      <c r="E28" s="16" t="s">
        <v>459</v>
      </c>
      <c r="F28" s="10" t="s">
        <v>460</v>
      </c>
      <c r="G28" s="10" t="s">
        <v>461</v>
      </c>
      <c r="H28" s="10" t="s">
        <v>449</v>
      </c>
      <c r="I28" s="15" t="s">
        <v>357</v>
      </c>
      <c r="J28" s="16" t="s">
        <v>462</v>
      </c>
    </row>
    <row r="29" customFormat="false" ht="23.85" hidden="false" customHeight="false" outlineLevel="0" collapsed="false">
      <c r="A29" s="11" t="s">
        <v>463</v>
      </c>
      <c r="B29" s="10" t="s">
        <v>352</v>
      </c>
      <c r="C29" s="10" t="s">
        <v>464</v>
      </c>
      <c r="D29" s="15" t="s">
        <v>354</v>
      </c>
      <c r="E29" s="16" t="s">
        <v>465</v>
      </c>
      <c r="F29" s="10" t="s">
        <v>466</v>
      </c>
      <c r="G29" s="10" t="s">
        <v>467</v>
      </c>
      <c r="H29" s="10" t="s">
        <v>468</v>
      </c>
      <c r="I29" s="15" t="s">
        <v>357</v>
      </c>
      <c r="J29" s="16" t="s">
        <v>469</v>
      </c>
    </row>
    <row r="30" customFormat="false" ht="23.85" hidden="false" customHeight="false" outlineLevel="0" collapsed="false">
      <c r="A30" s="11" t="s">
        <v>470</v>
      </c>
      <c r="B30" s="10" t="s">
        <v>352</v>
      </c>
      <c r="C30" s="10" t="s">
        <v>471</v>
      </c>
      <c r="D30" s="15" t="s">
        <v>354</v>
      </c>
      <c r="E30" s="16" t="s">
        <v>472</v>
      </c>
      <c r="F30" s="10" t="s">
        <v>78</v>
      </c>
      <c r="G30" s="10" t="s">
        <v>473</v>
      </c>
      <c r="H30" s="10" t="s">
        <v>224</v>
      </c>
      <c r="I30" s="15" t="s">
        <v>357</v>
      </c>
      <c r="J30" s="16" t="s">
        <v>474</v>
      </c>
    </row>
    <row r="31" customFormat="false" ht="23.85" hidden="false" customHeight="false" outlineLevel="0" collapsed="false">
      <c r="A31" s="11" t="s">
        <v>475</v>
      </c>
      <c r="B31" s="10" t="s">
        <v>352</v>
      </c>
      <c r="C31" s="10" t="s">
        <v>476</v>
      </c>
      <c r="D31" s="15" t="s">
        <v>354</v>
      </c>
      <c r="E31" s="16" t="s">
        <v>477</v>
      </c>
      <c r="F31" s="10" t="s">
        <v>78</v>
      </c>
      <c r="G31" s="10" t="s">
        <v>478</v>
      </c>
      <c r="H31" s="10" t="s">
        <v>311</v>
      </c>
      <c r="I31" s="15" t="s">
        <v>357</v>
      </c>
      <c r="J31" s="16" t="s">
        <v>479</v>
      </c>
    </row>
    <row r="32" customFormat="false" ht="15" hidden="false" customHeight="false" outlineLevel="0" collapsed="false">
      <c r="A32" s="11" t="s">
        <v>480</v>
      </c>
      <c r="B32" s="10" t="s">
        <v>352</v>
      </c>
      <c r="C32" s="10" t="s">
        <v>481</v>
      </c>
      <c r="D32" s="15" t="s">
        <v>354</v>
      </c>
      <c r="E32" s="16" t="s">
        <v>482</v>
      </c>
      <c r="F32" s="10" t="s">
        <v>78</v>
      </c>
      <c r="G32" s="10" t="s">
        <v>478</v>
      </c>
      <c r="H32" s="10" t="s">
        <v>311</v>
      </c>
      <c r="I32" s="15" t="s">
        <v>357</v>
      </c>
      <c r="J32" s="16" t="s">
        <v>483</v>
      </c>
    </row>
    <row r="33" customFormat="false" ht="23.85" hidden="false" customHeight="false" outlineLevel="0" collapsed="false">
      <c r="A33" s="11" t="s">
        <v>484</v>
      </c>
      <c r="B33" s="10" t="s">
        <v>352</v>
      </c>
      <c r="C33" s="10" t="s">
        <v>485</v>
      </c>
      <c r="D33" s="15" t="s">
        <v>354</v>
      </c>
      <c r="E33" s="16" t="s">
        <v>486</v>
      </c>
      <c r="F33" s="10" t="s">
        <v>487</v>
      </c>
      <c r="G33" s="10" t="s">
        <v>488</v>
      </c>
      <c r="H33" s="10" t="s">
        <v>224</v>
      </c>
      <c r="I33" s="15" t="s">
        <v>357</v>
      </c>
      <c r="J33" s="16" t="s">
        <v>489</v>
      </c>
    </row>
    <row r="34" customFormat="false" ht="23.85" hidden="false" customHeight="false" outlineLevel="0" collapsed="false">
      <c r="A34" s="11" t="s">
        <v>490</v>
      </c>
      <c r="B34" s="10" t="s">
        <v>352</v>
      </c>
      <c r="C34" s="10" t="s">
        <v>491</v>
      </c>
      <c r="D34" s="15" t="s">
        <v>354</v>
      </c>
      <c r="E34" s="16" t="s">
        <v>492</v>
      </c>
      <c r="F34" s="10" t="s">
        <v>78</v>
      </c>
      <c r="G34" s="10"/>
      <c r="H34" s="10" t="s">
        <v>311</v>
      </c>
      <c r="I34" s="15" t="s">
        <v>189</v>
      </c>
      <c r="J34" s="16" t="s">
        <v>493</v>
      </c>
    </row>
    <row r="35" customFormat="false" ht="15" hidden="false" customHeight="false" outlineLevel="0" collapsed="false">
      <c r="A35" s="11" t="s">
        <v>494</v>
      </c>
      <c r="B35" s="10" t="s">
        <v>352</v>
      </c>
      <c r="C35" s="10" t="s">
        <v>495</v>
      </c>
      <c r="D35" s="15" t="s">
        <v>354</v>
      </c>
      <c r="E35" s="16" t="s">
        <v>496</v>
      </c>
      <c r="F35" s="10" t="s">
        <v>121</v>
      </c>
      <c r="G35" s="10" t="s">
        <v>497</v>
      </c>
      <c r="H35" s="10" t="s">
        <v>259</v>
      </c>
      <c r="I35" s="15" t="s">
        <v>357</v>
      </c>
      <c r="J35" s="16" t="s">
        <v>498</v>
      </c>
    </row>
    <row r="36" customFormat="false" ht="23.85" hidden="false" customHeight="false" outlineLevel="0" collapsed="false">
      <c r="A36" s="11" t="s">
        <v>499</v>
      </c>
      <c r="B36" s="10" t="s">
        <v>352</v>
      </c>
      <c r="C36" s="10" t="s">
        <v>500</v>
      </c>
      <c r="D36" s="15" t="s">
        <v>354</v>
      </c>
      <c r="E36" s="16" t="s">
        <v>501</v>
      </c>
      <c r="F36" s="10" t="s">
        <v>121</v>
      </c>
      <c r="G36" s="10" t="s">
        <v>126</v>
      </c>
      <c r="H36" s="10" t="s">
        <v>129</v>
      </c>
      <c r="I36" s="15" t="s">
        <v>357</v>
      </c>
      <c r="J36" s="16" t="s">
        <v>502</v>
      </c>
    </row>
    <row r="37" customFormat="false" ht="23.85" hidden="false" customHeight="false" outlineLevel="0" collapsed="false">
      <c r="A37" s="11" t="s">
        <v>503</v>
      </c>
      <c r="B37" s="10" t="s">
        <v>352</v>
      </c>
      <c r="C37" s="10" t="s">
        <v>504</v>
      </c>
      <c r="D37" s="15" t="s">
        <v>354</v>
      </c>
      <c r="E37" s="16" t="s">
        <v>505</v>
      </c>
      <c r="F37" s="10" t="s">
        <v>138</v>
      </c>
      <c r="G37" s="10" t="s">
        <v>506</v>
      </c>
      <c r="H37" s="10" t="s">
        <v>146</v>
      </c>
      <c r="I37" s="15" t="s">
        <v>189</v>
      </c>
      <c r="J37" s="16" t="s">
        <v>507</v>
      </c>
    </row>
    <row r="38" customFormat="false" ht="23.85" hidden="false" customHeight="false" outlineLevel="0" collapsed="false">
      <c r="A38" s="11" t="s">
        <v>508</v>
      </c>
      <c r="B38" s="10" t="s">
        <v>352</v>
      </c>
      <c r="C38" s="10" t="s">
        <v>509</v>
      </c>
      <c r="D38" s="15" t="s">
        <v>354</v>
      </c>
      <c r="E38" s="16" t="s">
        <v>510</v>
      </c>
      <c r="F38" s="10" t="s">
        <v>138</v>
      </c>
      <c r="G38" s="10"/>
      <c r="H38" s="10" t="s">
        <v>307</v>
      </c>
      <c r="I38" s="15" t="s">
        <v>189</v>
      </c>
      <c r="J38" s="16" t="s">
        <v>511</v>
      </c>
    </row>
    <row r="39" customFormat="false" ht="23.85" hidden="false" customHeight="false" outlineLevel="0" collapsed="false">
      <c r="A39" s="11" t="s">
        <v>512</v>
      </c>
      <c r="B39" s="10" t="s">
        <v>352</v>
      </c>
      <c r="C39" s="10" t="s">
        <v>513</v>
      </c>
      <c r="D39" s="15" t="s">
        <v>354</v>
      </c>
      <c r="E39" s="16" t="s">
        <v>514</v>
      </c>
      <c r="F39" s="10" t="s">
        <v>515</v>
      </c>
      <c r="G39" s="10"/>
      <c r="H39" s="10" t="s">
        <v>307</v>
      </c>
      <c r="I39" s="15" t="s">
        <v>189</v>
      </c>
      <c r="J39" s="16" t="s">
        <v>516</v>
      </c>
    </row>
    <row r="40" customFormat="false" ht="23.85" hidden="false" customHeight="false" outlineLevel="0" collapsed="false">
      <c r="A40" s="11" t="s">
        <v>517</v>
      </c>
      <c r="B40" s="10" t="s">
        <v>352</v>
      </c>
      <c r="C40" s="10" t="s">
        <v>518</v>
      </c>
      <c r="D40" s="15" t="s">
        <v>354</v>
      </c>
      <c r="E40" s="16" t="s">
        <v>519</v>
      </c>
      <c r="F40" s="10" t="s">
        <v>138</v>
      </c>
      <c r="G40" s="10" t="s">
        <v>520</v>
      </c>
      <c r="H40" s="10" t="s">
        <v>146</v>
      </c>
      <c r="I40" s="15" t="s">
        <v>189</v>
      </c>
      <c r="J40" s="16" t="s">
        <v>521</v>
      </c>
    </row>
    <row r="41" customFormat="false" ht="15" hidden="false" customHeight="false" outlineLevel="0" collapsed="false">
      <c r="A41" s="11" t="s">
        <v>522</v>
      </c>
      <c r="B41" s="10" t="s">
        <v>352</v>
      </c>
      <c r="C41" s="10" t="s">
        <v>523</v>
      </c>
      <c r="D41" s="15" t="s">
        <v>354</v>
      </c>
      <c r="E41" s="16" t="s">
        <v>524</v>
      </c>
      <c r="F41" s="10" t="s">
        <v>156</v>
      </c>
      <c r="G41" s="10" t="s">
        <v>525</v>
      </c>
      <c r="H41" s="10" t="s">
        <v>299</v>
      </c>
      <c r="I41" s="15" t="s">
        <v>189</v>
      </c>
      <c r="J41" s="16" t="s">
        <v>526</v>
      </c>
    </row>
    <row r="42" customFormat="false" ht="23.85" hidden="false" customHeight="false" outlineLevel="0" collapsed="false">
      <c r="A42" s="11" t="s">
        <v>527</v>
      </c>
      <c r="B42" s="10" t="s">
        <v>352</v>
      </c>
      <c r="C42" s="10" t="s">
        <v>528</v>
      </c>
      <c r="D42" s="15" t="s">
        <v>354</v>
      </c>
      <c r="E42" s="16" t="s">
        <v>529</v>
      </c>
      <c r="F42" s="10" t="s">
        <v>530</v>
      </c>
      <c r="G42" s="10" t="s">
        <v>531</v>
      </c>
      <c r="H42" s="10" t="s">
        <v>532</v>
      </c>
      <c r="I42" s="15" t="s">
        <v>189</v>
      </c>
      <c r="J42" s="16" t="s">
        <v>533</v>
      </c>
    </row>
    <row r="43" customFormat="false" ht="15" hidden="false" customHeight="false" outlineLevel="0" collapsed="false">
      <c r="A43" s="11" t="s">
        <v>534</v>
      </c>
      <c r="B43" s="10" t="s">
        <v>352</v>
      </c>
      <c r="C43" s="10" t="s">
        <v>535</v>
      </c>
      <c r="D43" s="15" t="s">
        <v>354</v>
      </c>
      <c r="E43" s="16" t="s">
        <v>536</v>
      </c>
      <c r="F43" s="10" t="s">
        <v>104</v>
      </c>
      <c r="G43" s="10"/>
      <c r="H43" s="10" t="s">
        <v>307</v>
      </c>
      <c r="I43" s="15" t="s">
        <v>357</v>
      </c>
      <c r="J43" s="16" t="s">
        <v>535</v>
      </c>
    </row>
    <row r="44" customFormat="false" ht="23.85" hidden="false" customHeight="false" outlineLevel="0" collapsed="false">
      <c r="A44" s="11" t="s">
        <v>537</v>
      </c>
      <c r="B44" s="10" t="s">
        <v>538</v>
      </c>
      <c r="C44" s="10" t="s">
        <v>539</v>
      </c>
      <c r="D44" s="15" t="s">
        <v>354</v>
      </c>
      <c r="E44" s="16" t="s">
        <v>540</v>
      </c>
      <c r="F44" s="10" t="s">
        <v>147</v>
      </c>
      <c r="G44" s="10"/>
      <c r="H44" s="10" t="s">
        <v>315</v>
      </c>
      <c r="I44" s="15" t="s">
        <v>189</v>
      </c>
      <c r="J44" s="16" t="s">
        <v>541</v>
      </c>
    </row>
    <row r="45" customFormat="false" ht="15" hidden="false" customHeight="false" outlineLevel="0" collapsed="false">
      <c r="A45" s="11" t="s">
        <v>542</v>
      </c>
      <c r="B45" s="10" t="s">
        <v>538</v>
      </c>
      <c r="C45" s="10" t="s">
        <v>543</v>
      </c>
      <c r="D45" s="15" t="s">
        <v>354</v>
      </c>
      <c r="E45" s="16" t="s">
        <v>544</v>
      </c>
      <c r="F45" s="10" t="s">
        <v>147</v>
      </c>
      <c r="G45" s="10"/>
      <c r="H45" s="10" t="s">
        <v>315</v>
      </c>
      <c r="I45" s="15" t="s">
        <v>189</v>
      </c>
      <c r="J45" s="16" t="s">
        <v>545</v>
      </c>
    </row>
    <row r="46" customFormat="false" ht="23.85" hidden="false" customHeight="false" outlineLevel="0" collapsed="false">
      <c r="A46" s="11" t="s">
        <v>546</v>
      </c>
      <c r="B46" s="10" t="s">
        <v>538</v>
      </c>
      <c r="C46" s="10" t="s">
        <v>547</v>
      </c>
      <c r="D46" s="15" t="s">
        <v>354</v>
      </c>
      <c r="E46" s="16" t="s">
        <v>548</v>
      </c>
      <c r="F46" s="10" t="s">
        <v>66</v>
      </c>
      <c r="G46" s="10" t="s">
        <v>549</v>
      </c>
      <c r="H46" s="10" t="s">
        <v>207</v>
      </c>
      <c r="I46" s="15" t="s">
        <v>357</v>
      </c>
      <c r="J46" s="16" t="s">
        <v>550</v>
      </c>
    </row>
    <row r="47" customFormat="false" ht="23.85" hidden="false" customHeight="false" outlineLevel="0" collapsed="false">
      <c r="A47" s="11" t="s">
        <v>551</v>
      </c>
      <c r="B47" s="10" t="s">
        <v>538</v>
      </c>
      <c r="C47" s="10" t="s">
        <v>552</v>
      </c>
      <c r="D47" s="15" t="s">
        <v>354</v>
      </c>
      <c r="E47" s="16" t="s">
        <v>553</v>
      </c>
      <c r="F47" s="10" t="s">
        <v>156</v>
      </c>
      <c r="G47" s="10"/>
      <c r="H47" s="10" t="s">
        <v>315</v>
      </c>
      <c r="I47" s="15" t="s">
        <v>189</v>
      </c>
      <c r="J47" s="16" t="s">
        <v>554</v>
      </c>
    </row>
    <row r="48" customFormat="false" ht="23.85" hidden="false" customHeight="false" outlineLevel="0" collapsed="false">
      <c r="A48" s="11" t="s">
        <v>555</v>
      </c>
      <c r="B48" s="10" t="s">
        <v>538</v>
      </c>
      <c r="C48" s="10" t="s">
        <v>556</v>
      </c>
      <c r="D48" s="15" t="s">
        <v>354</v>
      </c>
      <c r="E48" s="16" t="s">
        <v>557</v>
      </c>
      <c r="F48" s="10" t="s">
        <v>86</v>
      </c>
      <c r="G48" s="10"/>
      <c r="H48" s="10" t="s">
        <v>315</v>
      </c>
      <c r="I48" s="15" t="s">
        <v>189</v>
      </c>
      <c r="J48" s="16" t="s">
        <v>558</v>
      </c>
    </row>
    <row r="49" customFormat="false" ht="23.85" hidden="false" customHeight="false" outlineLevel="0" collapsed="false">
      <c r="A49" s="11" t="s">
        <v>559</v>
      </c>
      <c r="B49" s="10" t="s">
        <v>538</v>
      </c>
      <c r="C49" s="10" t="s">
        <v>560</v>
      </c>
      <c r="D49" s="15" t="s">
        <v>354</v>
      </c>
      <c r="E49" s="16" t="s">
        <v>561</v>
      </c>
      <c r="F49" s="10" t="s">
        <v>562</v>
      </c>
      <c r="G49" s="10"/>
      <c r="H49" s="10" t="s">
        <v>315</v>
      </c>
      <c r="I49" s="15" t="s">
        <v>357</v>
      </c>
      <c r="J49" s="16" t="s">
        <v>563</v>
      </c>
    </row>
    <row r="50" customFormat="false" ht="23.85" hidden="false" customHeight="false" outlineLevel="0" collapsed="false">
      <c r="A50" s="11" t="s">
        <v>564</v>
      </c>
      <c r="B50" s="10" t="s">
        <v>538</v>
      </c>
      <c r="C50" s="10" t="s">
        <v>565</v>
      </c>
      <c r="D50" s="15" t="s">
        <v>354</v>
      </c>
      <c r="E50" s="16" t="s">
        <v>566</v>
      </c>
      <c r="F50" s="10" t="s">
        <v>66</v>
      </c>
      <c r="G50" s="10"/>
      <c r="H50" s="10" t="s">
        <v>320</v>
      </c>
      <c r="I50" s="15" t="s">
        <v>357</v>
      </c>
      <c r="J50" s="16" t="s">
        <v>567</v>
      </c>
    </row>
    <row r="51" customFormat="false" ht="23.85" hidden="false" customHeight="false" outlineLevel="0" collapsed="false">
      <c r="A51" s="11" t="s">
        <v>568</v>
      </c>
      <c r="B51" s="10" t="s">
        <v>538</v>
      </c>
      <c r="C51" s="10" t="s">
        <v>569</v>
      </c>
      <c r="D51" s="15" t="s">
        <v>354</v>
      </c>
      <c r="E51" s="16" t="s">
        <v>570</v>
      </c>
      <c r="F51" s="10" t="s">
        <v>390</v>
      </c>
      <c r="G51" s="10"/>
      <c r="H51" s="10" t="s">
        <v>311</v>
      </c>
      <c r="I51" s="15" t="s">
        <v>189</v>
      </c>
      <c r="J51" s="16" t="s">
        <v>571</v>
      </c>
    </row>
    <row r="52" customFormat="false" ht="23.85" hidden="false" customHeight="false" outlineLevel="0" collapsed="false">
      <c r="A52" s="11" t="s">
        <v>572</v>
      </c>
      <c r="B52" s="10" t="s">
        <v>573</v>
      </c>
      <c r="C52" s="10" t="s">
        <v>574</v>
      </c>
      <c r="D52" s="15" t="s">
        <v>354</v>
      </c>
      <c r="E52" s="16" t="s">
        <v>575</v>
      </c>
      <c r="F52" s="10" t="s">
        <v>165</v>
      </c>
      <c r="G52" s="10"/>
      <c r="H52" s="10" t="s">
        <v>172</v>
      </c>
      <c r="I52" s="15" t="s">
        <v>189</v>
      </c>
      <c r="J52" s="16" t="s">
        <v>576</v>
      </c>
    </row>
    <row r="53" customFormat="false" ht="23.85" hidden="false" customHeight="false" outlineLevel="0" collapsed="false">
      <c r="A53" s="11" t="s">
        <v>577</v>
      </c>
      <c r="B53" s="10" t="s">
        <v>573</v>
      </c>
      <c r="C53" s="10" t="s">
        <v>578</v>
      </c>
      <c r="D53" s="15" t="s">
        <v>354</v>
      </c>
      <c r="E53" s="16" t="s">
        <v>579</v>
      </c>
      <c r="F53" s="10" t="s">
        <v>165</v>
      </c>
      <c r="G53" s="10"/>
      <c r="H53" s="10" t="s">
        <v>172</v>
      </c>
      <c r="I53" s="15" t="s">
        <v>189</v>
      </c>
      <c r="J53" s="16" t="s">
        <v>580</v>
      </c>
    </row>
    <row r="54" customFormat="false" ht="15" hidden="false" customHeight="false" outlineLevel="0" collapsed="false">
      <c r="A54" s="11" t="s">
        <v>581</v>
      </c>
      <c r="B54" s="10" t="s">
        <v>573</v>
      </c>
      <c r="C54" s="10" t="s">
        <v>582</v>
      </c>
      <c r="D54" s="15" t="s">
        <v>354</v>
      </c>
      <c r="E54" s="16" t="s">
        <v>583</v>
      </c>
      <c r="F54" s="10" t="s">
        <v>165</v>
      </c>
      <c r="G54" s="10"/>
      <c r="H54" s="10" t="s">
        <v>172</v>
      </c>
      <c r="I54" s="15" t="s">
        <v>189</v>
      </c>
      <c r="J54" s="16" t="s">
        <v>584</v>
      </c>
    </row>
    <row r="55" customFormat="false" ht="15" hidden="false" customHeight="false" outlineLevel="0" collapsed="false">
      <c r="A55" s="11" t="s">
        <v>585</v>
      </c>
      <c r="B55" s="10" t="s">
        <v>573</v>
      </c>
      <c r="C55" s="10" t="s">
        <v>586</v>
      </c>
      <c r="D55" s="15" t="s">
        <v>354</v>
      </c>
      <c r="E55" s="16" t="s">
        <v>587</v>
      </c>
      <c r="F55" s="10" t="s">
        <v>165</v>
      </c>
      <c r="G55" s="10"/>
      <c r="H55" s="10" t="s">
        <v>172</v>
      </c>
      <c r="I55" s="15" t="s">
        <v>189</v>
      </c>
      <c r="J55" s="16" t="s">
        <v>588</v>
      </c>
    </row>
    <row r="56" customFormat="false" ht="35.05" hidden="false" customHeight="false" outlineLevel="0" collapsed="false">
      <c r="A56" s="11" t="s">
        <v>589</v>
      </c>
      <c r="B56" s="10" t="s">
        <v>573</v>
      </c>
      <c r="C56" s="10" t="s">
        <v>590</v>
      </c>
      <c r="D56" s="15" t="s">
        <v>591</v>
      </c>
      <c r="E56" s="16" t="s">
        <v>592</v>
      </c>
      <c r="F56" s="10"/>
      <c r="G56" s="10"/>
      <c r="H56" s="10"/>
      <c r="I56" s="15"/>
      <c r="J56" s="16" t="s">
        <v>593</v>
      </c>
    </row>
    <row r="57" customFormat="false" ht="23.85" hidden="false" customHeight="false" outlineLevel="0" collapsed="false">
      <c r="A57" s="11" t="s">
        <v>594</v>
      </c>
      <c r="B57" s="10" t="s">
        <v>573</v>
      </c>
      <c r="C57" s="10" t="s">
        <v>595</v>
      </c>
      <c r="D57" s="15" t="s">
        <v>591</v>
      </c>
      <c r="E57" s="16" t="s">
        <v>596</v>
      </c>
      <c r="F57" s="10"/>
      <c r="G57" s="10"/>
      <c r="H57" s="10"/>
      <c r="I57" s="15"/>
      <c r="J57" s="16" t="s">
        <v>305</v>
      </c>
    </row>
    <row r="58" customFormat="false" ht="15" hidden="false" customHeight="false" outlineLevel="0" collapsed="false">
      <c r="A58" s="11" t="s">
        <v>597</v>
      </c>
      <c r="B58" s="10" t="s">
        <v>573</v>
      </c>
      <c r="C58" s="10" t="s">
        <v>598</v>
      </c>
      <c r="D58" s="15" t="s">
        <v>354</v>
      </c>
      <c r="E58" s="16" t="s">
        <v>599</v>
      </c>
      <c r="F58" s="10" t="s">
        <v>147</v>
      </c>
      <c r="G58" s="10"/>
      <c r="H58" s="10" t="s">
        <v>328</v>
      </c>
      <c r="I58" s="15" t="s">
        <v>189</v>
      </c>
      <c r="J58" s="16" t="s">
        <v>600</v>
      </c>
    </row>
    <row r="59" customFormat="false" ht="15" hidden="false" customHeight="false" outlineLevel="0" collapsed="false">
      <c r="A59" s="11" t="s">
        <v>601</v>
      </c>
      <c r="B59" s="10" t="s">
        <v>573</v>
      </c>
      <c r="C59" s="10" t="s">
        <v>602</v>
      </c>
      <c r="D59" s="15" t="s">
        <v>354</v>
      </c>
      <c r="E59" s="16" t="s">
        <v>603</v>
      </c>
      <c r="F59" s="10" t="s">
        <v>165</v>
      </c>
      <c r="G59" s="10"/>
      <c r="H59" s="10" t="s">
        <v>172</v>
      </c>
      <c r="I59" s="15" t="s">
        <v>189</v>
      </c>
      <c r="J59" s="16" t="s">
        <v>604</v>
      </c>
    </row>
    <row r="60" customFormat="false" ht="15" hidden="false" customHeight="false" outlineLevel="0" collapsed="false">
      <c r="A60" s="11" t="s">
        <v>605</v>
      </c>
      <c r="B60" s="10" t="s">
        <v>573</v>
      </c>
      <c r="C60" s="10" t="s">
        <v>606</v>
      </c>
      <c r="D60" s="15" t="s">
        <v>354</v>
      </c>
      <c r="E60" s="16" t="s">
        <v>607</v>
      </c>
      <c r="F60" s="10" t="s">
        <v>608</v>
      </c>
      <c r="G60" s="10"/>
      <c r="H60" s="10" t="s">
        <v>320</v>
      </c>
      <c r="I60" s="15" t="s">
        <v>357</v>
      </c>
      <c r="J60" s="16" t="s">
        <v>609</v>
      </c>
    </row>
    <row r="61" customFormat="false" ht="15" hidden="false" customHeight="false" outlineLevel="0" collapsed="false">
      <c r="A61" s="11" t="s">
        <v>610</v>
      </c>
      <c r="B61" s="10" t="s">
        <v>573</v>
      </c>
      <c r="C61" s="10" t="s">
        <v>611</v>
      </c>
      <c r="D61" s="15" t="s">
        <v>354</v>
      </c>
      <c r="E61" s="16" t="s">
        <v>612</v>
      </c>
      <c r="F61" s="10" t="s">
        <v>147</v>
      </c>
      <c r="G61" s="10"/>
      <c r="H61" s="10" t="s">
        <v>328</v>
      </c>
      <c r="I61" s="15" t="s">
        <v>189</v>
      </c>
      <c r="J61" s="16" t="s">
        <v>613</v>
      </c>
    </row>
    <row r="62" customFormat="false" ht="23.85" hidden="false" customHeight="false" outlineLevel="0" collapsed="false">
      <c r="A62" s="11" t="s">
        <v>614</v>
      </c>
      <c r="B62" s="10" t="s">
        <v>573</v>
      </c>
      <c r="C62" s="10" t="s">
        <v>615</v>
      </c>
      <c r="D62" s="15" t="s">
        <v>591</v>
      </c>
      <c r="E62" s="16" t="s">
        <v>616</v>
      </c>
      <c r="F62" s="10"/>
      <c r="G62" s="10"/>
      <c r="H62" s="10"/>
      <c r="I62" s="15"/>
      <c r="J62" s="16" t="s">
        <v>593</v>
      </c>
    </row>
    <row r="63" customFormat="false" ht="23.85" hidden="false" customHeight="false" outlineLevel="0" collapsed="false">
      <c r="A63" s="11" t="s">
        <v>617</v>
      </c>
      <c r="B63" s="10" t="s">
        <v>573</v>
      </c>
      <c r="C63" s="10" t="s">
        <v>618</v>
      </c>
      <c r="D63" s="15" t="s">
        <v>591</v>
      </c>
      <c r="E63" s="16" t="s">
        <v>619</v>
      </c>
      <c r="F63" s="10"/>
      <c r="G63" s="10"/>
      <c r="H63" s="10"/>
      <c r="I63" s="15"/>
      <c r="J63" s="16" t="s">
        <v>305</v>
      </c>
    </row>
    <row r="64" customFormat="false" ht="23.85" hidden="false" customHeight="false" outlineLevel="0" collapsed="false">
      <c r="A64" s="11" t="s">
        <v>620</v>
      </c>
      <c r="B64" s="10" t="s">
        <v>573</v>
      </c>
      <c r="C64" s="10" t="s">
        <v>621</v>
      </c>
      <c r="D64" s="15" t="s">
        <v>354</v>
      </c>
      <c r="E64" s="16" t="s">
        <v>622</v>
      </c>
      <c r="F64" s="10" t="s">
        <v>165</v>
      </c>
      <c r="G64" s="10"/>
      <c r="H64" s="10" t="s">
        <v>172</v>
      </c>
      <c r="I64" s="15" t="s">
        <v>189</v>
      </c>
      <c r="J64" s="16" t="s">
        <v>623</v>
      </c>
    </row>
    <row r="65" customFormat="false" ht="23.85" hidden="false" customHeight="false" outlineLevel="0" collapsed="false">
      <c r="A65" s="11" t="s">
        <v>624</v>
      </c>
      <c r="B65" s="10" t="s">
        <v>573</v>
      </c>
      <c r="C65" s="10" t="s">
        <v>625</v>
      </c>
      <c r="D65" s="15" t="s">
        <v>354</v>
      </c>
      <c r="E65" s="16" t="s">
        <v>626</v>
      </c>
      <c r="F65" s="10" t="s">
        <v>147</v>
      </c>
      <c r="G65" s="10"/>
      <c r="H65" s="10" t="s">
        <v>328</v>
      </c>
      <c r="I65" s="15" t="s">
        <v>189</v>
      </c>
      <c r="J65" s="16" t="s">
        <v>627</v>
      </c>
    </row>
    <row r="66" customFormat="false" ht="23.85" hidden="false" customHeight="false" outlineLevel="0" collapsed="false">
      <c r="A66" s="11" t="s">
        <v>628</v>
      </c>
      <c r="B66" s="10" t="s">
        <v>629</v>
      </c>
      <c r="C66" s="10" t="s">
        <v>630</v>
      </c>
      <c r="D66" s="15" t="s">
        <v>354</v>
      </c>
      <c r="E66" s="16" t="s">
        <v>631</v>
      </c>
      <c r="F66" s="10" t="s">
        <v>66</v>
      </c>
      <c r="G66" s="10"/>
      <c r="H66" s="10"/>
      <c r="I66" s="15" t="s">
        <v>400</v>
      </c>
      <c r="J66" s="16" t="s">
        <v>632</v>
      </c>
    </row>
    <row r="67" customFormat="false" ht="15" hidden="false" customHeight="false" outlineLevel="0" collapsed="false">
      <c r="A67" s="11" t="s">
        <v>633</v>
      </c>
      <c r="B67" s="10" t="s">
        <v>629</v>
      </c>
      <c r="C67" s="10" t="s">
        <v>634</v>
      </c>
      <c r="D67" s="15" t="s">
        <v>354</v>
      </c>
      <c r="E67" s="16" t="s">
        <v>635</v>
      </c>
      <c r="F67" s="10" t="s">
        <v>66</v>
      </c>
      <c r="G67" s="10" t="s">
        <v>636</v>
      </c>
      <c r="H67" s="10" t="s">
        <v>637</v>
      </c>
      <c r="I67" s="15" t="s">
        <v>357</v>
      </c>
      <c r="J67" s="16" t="s">
        <v>638</v>
      </c>
    </row>
    <row r="68" customFormat="false" ht="23.85" hidden="false" customHeight="false" outlineLevel="0" collapsed="false">
      <c r="A68" s="11" t="s">
        <v>639</v>
      </c>
      <c r="B68" s="10" t="s">
        <v>629</v>
      </c>
      <c r="C68" s="10" t="s">
        <v>640</v>
      </c>
      <c r="D68" s="15" t="s">
        <v>354</v>
      </c>
      <c r="E68" s="16" t="s">
        <v>641</v>
      </c>
      <c r="F68" s="10" t="s">
        <v>642</v>
      </c>
      <c r="G68" s="10" t="s">
        <v>643</v>
      </c>
      <c r="H68" s="10" t="s">
        <v>328</v>
      </c>
      <c r="I68" s="15" t="s">
        <v>357</v>
      </c>
      <c r="J68" s="16" t="s">
        <v>644</v>
      </c>
    </row>
    <row r="69" customFormat="false" ht="15" hidden="false" customHeight="false" outlineLevel="0" collapsed="false">
      <c r="A69" s="11" t="s">
        <v>645</v>
      </c>
      <c r="B69" s="10" t="s">
        <v>629</v>
      </c>
      <c r="C69" s="10" t="s">
        <v>646</v>
      </c>
      <c r="D69" s="15" t="s">
        <v>354</v>
      </c>
      <c r="E69" s="16" t="s">
        <v>647</v>
      </c>
      <c r="F69" s="10" t="s">
        <v>648</v>
      </c>
      <c r="G69" s="10" t="s">
        <v>649</v>
      </c>
      <c r="H69" s="10" t="s">
        <v>240</v>
      </c>
      <c r="I69" s="15" t="s">
        <v>357</v>
      </c>
      <c r="J69" s="16" t="s">
        <v>650</v>
      </c>
    </row>
    <row r="70" customFormat="false" ht="23.85" hidden="false" customHeight="false" outlineLevel="0" collapsed="false">
      <c r="A70" s="11" t="s">
        <v>651</v>
      </c>
      <c r="B70" s="10" t="s">
        <v>629</v>
      </c>
      <c r="C70" s="10" t="s">
        <v>652</v>
      </c>
      <c r="D70" s="15" t="s">
        <v>354</v>
      </c>
      <c r="E70" s="16" t="s">
        <v>653</v>
      </c>
      <c r="F70" s="10" t="s">
        <v>66</v>
      </c>
      <c r="G70" s="10" t="s">
        <v>654</v>
      </c>
      <c r="H70" s="10" t="s">
        <v>191</v>
      </c>
      <c r="I70" s="15" t="s">
        <v>357</v>
      </c>
      <c r="J70" s="16" t="s">
        <v>655</v>
      </c>
    </row>
    <row r="71" customFormat="false" ht="15" hidden="false" customHeight="false" outlineLevel="0" collapsed="false">
      <c r="A71" s="11" t="s">
        <v>656</v>
      </c>
      <c r="B71" s="10" t="s">
        <v>629</v>
      </c>
      <c r="C71" s="10" t="s">
        <v>657</v>
      </c>
      <c r="D71" s="15" t="s">
        <v>354</v>
      </c>
      <c r="E71" s="16" t="s">
        <v>658</v>
      </c>
      <c r="F71" s="10" t="s">
        <v>121</v>
      </c>
      <c r="G71" s="10"/>
      <c r="H71" s="10"/>
      <c r="I71" s="15" t="s">
        <v>400</v>
      </c>
      <c r="J71" s="16" t="s">
        <v>659</v>
      </c>
    </row>
    <row r="72" customFormat="false" ht="15" hidden="false" customHeight="false" outlineLevel="0" collapsed="false">
      <c r="A72" s="11" t="s">
        <v>660</v>
      </c>
      <c r="B72" s="10" t="s">
        <v>629</v>
      </c>
      <c r="C72" s="10" t="s">
        <v>661</v>
      </c>
      <c r="D72" s="15" t="s">
        <v>354</v>
      </c>
      <c r="E72" s="16" t="s">
        <v>662</v>
      </c>
      <c r="F72" s="10" t="s">
        <v>78</v>
      </c>
      <c r="G72" s="10"/>
      <c r="H72" s="10"/>
      <c r="I72" s="15" t="s">
        <v>400</v>
      </c>
      <c r="J72" s="16" t="s">
        <v>663</v>
      </c>
    </row>
    <row r="73" customFormat="false" ht="15" hidden="false" customHeight="false" outlineLevel="0" collapsed="false">
      <c r="A73" s="11" t="s">
        <v>664</v>
      </c>
      <c r="B73" s="10" t="s">
        <v>629</v>
      </c>
      <c r="C73" s="10" t="s">
        <v>665</v>
      </c>
      <c r="D73" s="15" t="s">
        <v>354</v>
      </c>
      <c r="E73" s="16" t="s">
        <v>666</v>
      </c>
      <c r="F73" s="10" t="s">
        <v>113</v>
      </c>
      <c r="G73" s="10" t="s">
        <v>667</v>
      </c>
      <c r="H73" s="10" t="s">
        <v>324</v>
      </c>
      <c r="I73" s="15" t="s">
        <v>357</v>
      </c>
      <c r="J73" s="16" t="s">
        <v>668</v>
      </c>
    </row>
    <row r="74" customFormat="false" ht="15" hidden="false" customHeight="false" outlineLevel="0" collapsed="false">
      <c r="A74" s="11" t="s">
        <v>669</v>
      </c>
      <c r="B74" s="10" t="s">
        <v>629</v>
      </c>
      <c r="C74" s="10" t="s">
        <v>670</v>
      </c>
      <c r="D74" s="15" t="s">
        <v>354</v>
      </c>
      <c r="E74" s="16" t="s">
        <v>671</v>
      </c>
      <c r="F74" s="10" t="s">
        <v>104</v>
      </c>
      <c r="G74" s="10" t="s">
        <v>109</v>
      </c>
      <c r="H74" s="10" t="s">
        <v>112</v>
      </c>
      <c r="I74" s="15" t="s">
        <v>357</v>
      </c>
      <c r="J74" s="16" t="s">
        <v>672</v>
      </c>
    </row>
    <row r="75" customFormat="false" ht="23.85" hidden="false" customHeight="false" outlineLevel="0" collapsed="false">
      <c r="A75" s="11" t="s">
        <v>673</v>
      </c>
      <c r="B75" s="10" t="s">
        <v>629</v>
      </c>
      <c r="C75" s="10" t="s">
        <v>674</v>
      </c>
      <c r="D75" s="15" t="s">
        <v>354</v>
      </c>
      <c r="E75" s="16" t="s">
        <v>675</v>
      </c>
      <c r="F75" s="10" t="s">
        <v>676</v>
      </c>
      <c r="G75" s="10"/>
      <c r="H75" s="10" t="s">
        <v>307</v>
      </c>
      <c r="I75" s="15" t="s">
        <v>189</v>
      </c>
      <c r="J75" s="16" t="s">
        <v>677</v>
      </c>
    </row>
    <row r="76" customFormat="false" ht="15" hidden="false" customHeight="false" outlineLevel="0" collapsed="false">
      <c r="A76" s="11" t="s">
        <v>678</v>
      </c>
      <c r="B76" s="10" t="s">
        <v>629</v>
      </c>
      <c r="C76" s="10" t="s">
        <v>679</v>
      </c>
      <c r="D76" s="15" t="s">
        <v>354</v>
      </c>
      <c r="E76" s="16" t="s">
        <v>680</v>
      </c>
      <c r="F76" s="10" t="s">
        <v>147</v>
      </c>
      <c r="G76" s="10" t="s">
        <v>681</v>
      </c>
      <c r="H76" s="10" t="s">
        <v>283</v>
      </c>
      <c r="I76" s="15" t="s">
        <v>357</v>
      </c>
      <c r="J76" s="16" t="s">
        <v>682</v>
      </c>
    </row>
    <row r="77" customFormat="false" ht="23.85" hidden="false" customHeight="false" outlineLevel="0" collapsed="false">
      <c r="A77" s="11" t="s">
        <v>683</v>
      </c>
      <c r="B77" s="10" t="s">
        <v>629</v>
      </c>
      <c r="C77" s="10" t="s">
        <v>684</v>
      </c>
      <c r="D77" s="15" t="s">
        <v>354</v>
      </c>
      <c r="E77" s="16" t="s">
        <v>685</v>
      </c>
      <c r="F77" s="10" t="s">
        <v>147</v>
      </c>
      <c r="G77" s="10"/>
      <c r="H77" s="10" t="s">
        <v>328</v>
      </c>
      <c r="I77" s="15" t="s">
        <v>189</v>
      </c>
      <c r="J77" s="16" t="s">
        <v>686</v>
      </c>
    </row>
    <row r="78" customFormat="false" ht="15" hidden="false" customHeight="false" outlineLevel="0" collapsed="false">
      <c r="A78" s="11" t="s">
        <v>687</v>
      </c>
      <c r="B78" s="10" t="s">
        <v>629</v>
      </c>
      <c r="C78" s="10" t="s">
        <v>688</v>
      </c>
      <c r="D78" s="15" t="s">
        <v>354</v>
      </c>
      <c r="E78" s="16" t="s">
        <v>689</v>
      </c>
      <c r="F78" s="10" t="s">
        <v>121</v>
      </c>
      <c r="G78" s="10" t="s">
        <v>690</v>
      </c>
      <c r="H78" s="10" t="s">
        <v>263</v>
      </c>
      <c r="I78" s="15" t="s">
        <v>357</v>
      </c>
      <c r="J78" s="16" t="s">
        <v>691</v>
      </c>
    </row>
    <row r="79" customFormat="false" ht="23.85" hidden="false" customHeight="false" outlineLevel="0" collapsed="false">
      <c r="A79" s="11" t="s">
        <v>692</v>
      </c>
      <c r="B79" s="10" t="s">
        <v>629</v>
      </c>
      <c r="C79" s="10" t="s">
        <v>693</v>
      </c>
      <c r="D79" s="15" t="s">
        <v>354</v>
      </c>
      <c r="E79" s="16" t="s">
        <v>694</v>
      </c>
      <c r="F79" s="10" t="s">
        <v>121</v>
      </c>
      <c r="G79" s="10" t="s">
        <v>695</v>
      </c>
      <c r="H79" s="10" t="s">
        <v>263</v>
      </c>
      <c r="I79" s="15" t="s">
        <v>357</v>
      </c>
      <c r="J79" s="16" t="s">
        <v>696</v>
      </c>
    </row>
    <row r="80" customFormat="false" ht="15" hidden="false" customHeight="false" outlineLevel="0" collapsed="false">
      <c r="A80" s="11" t="s">
        <v>697</v>
      </c>
      <c r="B80" s="10" t="s">
        <v>629</v>
      </c>
      <c r="C80" s="10" t="s">
        <v>698</v>
      </c>
      <c r="D80" s="15" t="s">
        <v>354</v>
      </c>
      <c r="E80" s="16" t="s">
        <v>699</v>
      </c>
      <c r="F80" s="10" t="s">
        <v>78</v>
      </c>
      <c r="G80" s="10" t="s">
        <v>700</v>
      </c>
      <c r="H80" s="10" t="s">
        <v>211</v>
      </c>
      <c r="I80" s="15" t="s">
        <v>357</v>
      </c>
      <c r="J80" s="16" t="s">
        <v>701</v>
      </c>
    </row>
    <row r="81" customFormat="false" ht="23.85" hidden="false" customHeight="false" outlineLevel="0" collapsed="false">
      <c r="A81" s="11" t="s">
        <v>702</v>
      </c>
      <c r="B81" s="10" t="s">
        <v>629</v>
      </c>
      <c r="C81" s="10" t="s">
        <v>703</v>
      </c>
      <c r="D81" s="15" t="s">
        <v>354</v>
      </c>
      <c r="E81" s="16" t="s">
        <v>704</v>
      </c>
      <c r="F81" s="10" t="s">
        <v>78</v>
      </c>
      <c r="G81" s="10" t="s">
        <v>705</v>
      </c>
      <c r="H81" s="10" t="s">
        <v>706</v>
      </c>
      <c r="I81" s="15" t="s">
        <v>357</v>
      </c>
      <c r="J81" s="16" t="s">
        <v>707</v>
      </c>
    </row>
    <row r="82" customFormat="false" ht="23.85" hidden="false" customHeight="false" outlineLevel="0" collapsed="false">
      <c r="A82" s="11" t="s">
        <v>708</v>
      </c>
      <c r="B82" s="10" t="s">
        <v>629</v>
      </c>
      <c r="C82" s="10" t="s">
        <v>709</v>
      </c>
      <c r="D82" s="15" t="s">
        <v>354</v>
      </c>
      <c r="E82" s="16" t="s">
        <v>710</v>
      </c>
      <c r="F82" s="10" t="s">
        <v>78</v>
      </c>
      <c r="G82" s="10"/>
      <c r="H82" s="10" t="s">
        <v>311</v>
      </c>
      <c r="I82" s="15" t="s">
        <v>189</v>
      </c>
      <c r="J82" s="16" t="s">
        <v>711</v>
      </c>
    </row>
    <row r="83" customFormat="false" ht="15" hidden="false" customHeight="false" outlineLevel="0" collapsed="false">
      <c r="A83" s="11" t="s">
        <v>712</v>
      </c>
      <c r="B83" s="10" t="s">
        <v>629</v>
      </c>
      <c r="C83" s="10" t="s">
        <v>713</v>
      </c>
      <c r="D83" s="15" t="s">
        <v>354</v>
      </c>
      <c r="E83" s="16" t="s">
        <v>714</v>
      </c>
      <c r="F83" s="10" t="s">
        <v>66</v>
      </c>
      <c r="G83" s="10"/>
      <c r="H83" s="10" t="s">
        <v>320</v>
      </c>
      <c r="I83" s="15" t="s">
        <v>189</v>
      </c>
      <c r="J83" s="16" t="s">
        <v>715</v>
      </c>
    </row>
    <row r="84" customFormat="false" ht="23.85" hidden="false" customHeight="false" outlineLevel="0" collapsed="false">
      <c r="A84" s="11" t="s">
        <v>716</v>
      </c>
      <c r="B84" s="10" t="s">
        <v>629</v>
      </c>
      <c r="C84" s="10" t="s">
        <v>717</v>
      </c>
      <c r="D84" s="15" t="s">
        <v>354</v>
      </c>
      <c r="E84" s="16" t="s">
        <v>718</v>
      </c>
      <c r="F84" s="10" t="s">
        <v>113</v>
      </c>
      <c r="G84" s="10"/>
      <c r="H84" s="10" t="s">
        <v>324</v>
      </c>
      <c r="I84" s="15" t="s">
        <v>357</v>
      </c>
      <c r="J84" s="16" t="s">
        <v>719</v>
      </c>
    </row>
    <row r="85" customFormat="false" ht="15" hidden="false" customHeight="false" outlineLevel="0" collapsed="false">
      <c r="A85" s="11" t="s">
        <v>720</v>
      </c>
      <c r="B85" s="10" t="s">
        <v>629</v>
      </c>
      <c r="C85" s="10" t="s">
        <v>721</v>
      </c>
      <c r="D85" s="15" t="s">
        <v>354</v>
      </c>
      <c r="E85" s="16" t="s">
        <v>722</v>
      </c>
      <c r="F85" s="10" t="s">
        <v>104</v>
      </c>
      <c r="G85" s="10"/>
      <c r="H85" s="10"/>
      <c r="I85" s="15" t="s">
        <v>400</v>
      </c>
      <c r="J85" s="16" t="s">
        <v>723</v>
      </c>
    </row>
    <row r="86" customFormat="false" ht="15" hidden="false" customHeight="false" outlineLevel="0" collapsed="false">
      <c r="A86" s="11" t="s">
        <v>724</v>
      </c>
      <c r="B86" s="10" t="s">
        <v>629</v>
      </c>
      <c r="C86" s="10" t="s">
        <v>725</v>
      </c>
      <c r="D86" s="15" t="s">
        <v>354</v>
      </c>
      <c r="E86" s="16" t="s">
        <v>726</v>
      </c>
      <c r="F86" s="10" t="s">
        <v>130</v>
      </c>
      <c r="G86" s="10"/>
      <c r="H86" s="10" t="s">
        <v>271</v>
      </c>
      <c r="I86" s="15" t="s">
        <v>357</v>
      </c>
      <c r="J86" s="16" t="s">
        <v>727</v>
      </c>
    </row>
    <row r="87" customFormat="false" ht="15" hidden="false" customHeight="false" outlineLevel="0" collapsed="false">
      <c r="A87" s="11" t="s">
        <v>728</v>
      </c>
      <c r="B87" s="10" t="s">
        <v>629</v>
      </c>
      <c r="C87" s="10" t="s">
        <v>729</v>
      </c>
      <c r="D87" 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s">
        <v>357</v>
      </c>
      <c r="J87" s="16" t="s">
        <v>731</v>
      </c>
    </row>
    <row r="88" customFormat="false" ht="15" hidden="false" customHeight="false" outlineLevel="0" collapsed="false">
      <c r="A88" s="11" t="s">
        <v>732</v>
      </c>
      <c r="B88" s="10" t="s">
        <v>629</v>
      </c>
      <c r="C88" s="10" t="s">
        <v>733</v>
      </c>
      <c r="D88" s="15" t="s">
        <v>354</v>
      </c>
      <c r="E88" s="16" t="s">
        <v>734</v>
      </c>
      <c r="F88" s="10" t="s">
        <v>66</v>
      </c>
      <c r="G88" s="10"/>
      <c r="H88" s="10" t="s">
        <v>320</v>
      </c>
      <c r="I88" s="15" t="s">
        <v>189</v>
      </c>
      <c r="J88" s="16" t="s">
        <v>735</v>
      </c>
    </row>
    <row r="89" customFormat="false" ht="15" hidden="false" customHeight="false" outlineLevel="0" collapsed="false">
      <c r="A89" s="11" t="s">
        <v>736</v>
      </c>
      <c r="B89" s="10" t="s">
        <v>629</v>
      </c>
      <c r="C89" s="10" t="s">
        <v>737</v>
      </c>
      <c r="D89" s="15" t="s">
        <v>354</v>
      </c>
      <c r="E89" s="16" t="s">
        <v>738</v>
      </c>
      <c r="F89" s="10" t="s">
        <v>95</v>
      </c>
      <c r="G89" s="10"/>
      <c r="H89" s="10" t="s">
        <v>236</v>
      </c>
      <c r="I89" s="15" t="s">
        <v>357</v>
      </c>
      <c r="J89" s="16" t="s">
        <v>739</v>
      </c>
    </row>
    <row r="90" customFormat="false" ht="23.85" hidden="false" customHeight="false" outlineLevel="0" collapsed="false">
      <c r="A90" s="11" t="s">
        <v>740</v>
      </c>
      <c r="B90" s="10" t="s">
        <v>629</v>
      </c>
      <c r="C90" s="10" t="s">
        <v>741</v>
      </c>
      <c r="D90" s="15" t="s">
        <v>354</v>
      </c>
      <c r="E90" s="16" t="s">
        <v>742</v>
      </c>
      <c r="F90" s="10" t="s">
        <v>113</v>
      </c>
      <c r="G90" s="10" t="s">
        <v>743</v>
      </c>
      <c r="H90" s="10" t="s">
        <v>247</v>
      </c>
      <c r="I90" s="15" t="s">
        <v>357</v>
      </c>
      <c r="J90" s="16" t="s">
        <v>744</v>
      </c>
    </row>
    <row r="91" customFormat="false" ht="15" hidden="false" customHeight="false" outlineLevel="0" collapsed="false">
      <c r="A91" s="11" t="s">
        <v>745</v>
      </c>
      <c r="B91" s="10" t="s">
        <v>629</v>
      </c>
      <c r="C91" s="10" t="s">
        <v>746</v>
      </c>
      <c r="D91" s="15" t="s">
        <v>354</v>
      </c>
      <c r="E91" s="16" t="s">
        <v>747</v>
      </c>
      <c r="F91" s="10" t="s">
        <v>113</v>
      </c>
      <c r="G91" s="10"/>
      <c r="H91" s="10" t="s">
        <v>324</v>
      </c>
      <c r="I91" s="15" t="s">
        <v>189</v>
      </c>
      <c r="J91" s="16" t="s">
        <v>746</v>
      </c>
    </row>
    <row r="92" customFormat="false" ht="23.85" hidden="false" customHeight="false" outlineLevel="0" collapsed="false">
      <c r="A92" s="11" t="s">
        <v>748</v>
      </c>
      <c r="B92" s="10" t="s">
        <v>629</v>
      </c>
      <c r="C92" s="10" t="s">
        <v>749</v>
      </c>
      <c r="D92" s="15" t="s">
        <v>354</v>
      </c>
      <c r="E92" s="16" t="s">
        <v>750</v>
      </c>
      <c r="F92" s="10" t="s">
        <v>751</v>
      </c>
      <c r="G92" s="10"/>
      <c r="H92" s="10" t="s">
        <v>324</v>
      </c>
      <c r="I92" s="15" t="s">
        <v>357</v>
      </c>
      <c r="J92" s="16" t="s">
        <v>752</v>
      </c>
    </row>
    <row r="93" customFormat="false" ht="15" hidden="false" customHeight="false" outlineLevel="0" collapsed="false">
      <c r="A93" s="11" t="s">
        <v>753</v>
      </c>
      <c r="B93" s="10" t="s">
        <v>629</v>
      </c>
      <c r="C93" s="10" t="s">
        <v>754</v>
      </c>
      <c r="D93" s="15" t="s">
        <v>354</v>
      </c>
      <c r="E93" s="16" t="s">
        <v>755</v>
      </c>
      <c r="F93" s="10" t="s">
        <v>648</v>
      </c>
      <c r="G93" s="10" t="s">
        <v>756</v>
      </c>
      <c r="H93" s="10" t="s">
        <v>757</v>
      </c>
      <c r="I93" s="15" t="s">
        <v>357</v>
      </c>
      <c r="J93" s="16" t="s">
        <v>758</v>
      </c>
    </row>
    <row r="94" customFormat="false" ht="23.85" hidden="false" customHeight="false" outlineLevel="0" collapsed="false">
      <c r="A94" s="11" t="s">
        <v>759</v>
      </c>
      <c r="B94" s="10" t="s">
        <v>629</v>
      </c>
      <c r="C94" s="10" t="s">
        <v>760</v>
      </c>
      <c r="D94" s="15" t="s">
        <v>354</v>
      </c>
      <c r="E94" s="16" t="s">
        <v>761</v>
      </c>
      <c r="F94" s="10" t="s">
        <v>113</v>
      </c>
      <c r="G94" s="10" t="s">
        <v>762</v>
      </c>
      <c r="H94" s="10" t="s">
        <v>763</v>
      </c>
      <c r="I94" s="15" t="s">
        <v>357</v>
      </c>
      <c r="J94" s="16" t="s">
        <v>764</v>
      </c>
    </row>
    <row r="95" customFormat="false" ht="23.85" hidden="false" customHeight="false" outlineLevel="0" collapsed="false">
      <c r="A95" s="11" t="s">
        <v>765</v>
      </c>
      <c r="B95" s="10" t="s">
        <v>629</v>
      </c>
      <c r="C95" s="10" t="s">
        <v>766</v>
      </c>
      <c r="D95" s="15" t="s">
        <v>591</v>
      </c>
      <c r="E95" s="16" t="s">
        <v>767</v>
      </c>
      <c r="F95" s="10"/>
      <c r="G95" s="10"/>
      <c r="H95" s="10"/>
      <c r="I95" s="15"/>
      <c r="J95" s="16" t="s">
        <v>305</v>
      </c>
    </row>
    <row r="96" customFormat="false" ht="23.85" hidden="false" customHeight="false" outlineLevel="0" collapsed="false">
      <c r="A96" s="11" t="s">
        <v>768</v>
      </c>
      <c r="B96" s="10" t="s">
        <v>629</v>
      </c>
      <c r="C96" s="10" t="s">
        <v>769</v>
      </c>
      <c r="D96" s="15" t="s">
        <v>354</v>
      </c>
      <c r="E96" s="16" t="s">
        <v>770</v>
      </c>
      <c r="F96" s="10" t="s">
        <v>147</v>
      </c>
      <c r="G96" s="10" t="s">
        <v>681</v>
      </c>
      <c r="H96" s="10" t="s">
        <v>283</v>
      </c>
      <c r="I96" s="15" t="s">
        <v>357</v>
      </c>
      <c r="J96" s="16" t="s">
        <v>771</v>
      </c>
    </row>
    <row r="97" customFormat="false" ht="23.85" hidden="false" customHeight="false" outlineLevel="0" collapsed="false">
      <c r="A97" s="11" t="s">
        <v>772</v>
      </c>
      <c r="B97" s="10" t="s">
        <v>629</v>
      </c>
      <c r="C97" s="10" t="s">
        <v>773</v>
      </c>
      <c r="D97" s="15" t="s">
        <v>354</v>
      </c>
      <c r="E97" s="16" t="s">
        <v>774</v>
      </c>
      <c r="F97" s="10" t="s">
        <v>751</v>
      </c>
      <c r="G97" s="10" t="s">
        <v>775</v>
      </c>
      <c r="H97" s="10" t="s">
        <v>776</v>
      </c>
      <c r="I97" s="15" t="s">
        <v>357</v>
      </c>
      <c r="J97" s="16" t="s">
        <v>777</v>
      </c>
    </row>
    <row r="98" customFormat="false" ht="15" hidden="false" customHeight="false" outlineLevel="0" collapsed="false">
      <c r="A98" s="11" t="s">
        <v>778</v>
      </c>
      <c r="B98" s="10" t="s">
        <v>629</v>
      </c>
      <c r="C98" s="10" t="s">
        <v>779</v>
      </c>
      <c r="D98" s="15" t="s">
        <v>354</v>
      </c>
      <c r="E98" s="16" t="s">
        <v>780</v>
      </c>
      <c r="F98" s="10" t="s">
        <v>147</v>
      </c>
      <c r="G98" s="10" t="s">
        <v>681</v>
      </c>
      <c r="H98" s="10" t="s">
        <v>283</v>
      </c>
      <c r="I98" s="15" t="s">
        <v>357</v>
      </c>
      <c r="J98" s="16" t="s">
        <v>781</v>
      </c>
    </row>
    <row r="99" customFormat="false" ht="23.85" hidden="false" customHeight="false" outlineLevel="0" collapsed="false">
      <c r="A99" s="11" t="s">
        <v>782</v>
      </c>
      <c r="B99" s="10" t="s">
        <v>629</v>
      </c>
      <c r="C99" s="10" t="s">
        <v>783</v>
      </c>
      <c r="D99" s="15" t="s">
        <v>354</v>
      </c>
      <c r="E99" s="16" t="s">
        <v>784</v>
      </c>
      <c r="F99" s="10" t="s">
        <v>113</v>
      </c>
      <c r="G99" s="10"/>
      <c r="H99" s="10" t="s">
        <v>324</v>
      </c>
      <c r="I99" s="15" t="s">
        <v>189</v>
      </c>
      <c r="J99" s="16" t="s">
        <v>785</v>
      </c>
    </row>
  </sheetData>
  <autoFilter ref="A6:J99"/>
  <conditionalFormatting sqref="D7:D99">
    <cfRule type="cellIs" priority="2" operator="equal" aboveAverage="0" equalAverage="0" bottom="0" percent="0" rank="0" text="" dxfId="15">
      <formula>"Non"</formula>
    </cfRule>
  </conditionalFormatting>
  <conditionalFormatting sqref="I7:I99">
    <cfRule type="cellIs" priority="3" operator="equal" aboveAverage="0" equalAverage="0" bottom="0" percent="0" rank="0" text="" dxfId="3">
      <formula>"Implémentée"</formula>
    </cfRule>
    <cfRule type="cellIs" priority="4" operator="equal" aboveAverage="0" equalAverage="0" bottom="0" percent="0" rank="0" text="" dxfId="2">
      <formula>"À planifier"</formula>
    </cfRule>
  </conditionalFormatting>
  <dataValidations count="2">
    <dataValidation allowBlank="true" errorStyle="stop" operator="between" showDropDown="false" showErrorMessage="false" showInputMessage="false" sqref="D7:D99" type="list">
      <formula1>"Oui,Non"</formula1>
      <formula2>0</formula2>
    </dataValidation>
    <dataValidation allowBlank="true" errorStyle="stop" operator="between" showDropDown="false" showErrorMessage="false" showInputMessage="false" sqref="I7:I99" type="list">
      <formula1>"Non démarrée,Partielle,Implémentée,À planifier"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5" t="s">
        <v>786</v>
      </c>
    </row>
    <row r="2" customFormat="false" ht="15" hidden="false" customHeight="false" outlineLevel="0" collapsed="false">
      <c r="A2" s="6" t="s">
        <v>787</v>
      </c>
    </row>
    <row r="4" customFormat="false" ht="39.75" hidden="false" customHeight="true" outlineLevel="0" collapsed="false">
      <c r="A4" s="8" t="s">
        <v>343</v>
      </c>
      <c r="B4" s="8" t="s">
        <v>788</v>
      </c>
      <c r="C4" s="8" t="s">
        <v>789</v>
      </c>
      <c r="D4" s="8" t="s">
        <v>790</v>
      </c>
      <c r="E4" s="8" t="s">
        <v>791</v>
      </c>
      <c r="F4" s="8" t="s">
        <v>792</v>
      </c>
      <c r="G4" s="8" t="s">
        <v>793</v>
      </c>
      <c r="H4" s="14" t="s">
        <v>794</v>
      </c>
      <c r="I4" s="14" t="s">
        <v>795</v>
      </c>
    </row>
    <row r="5" customFormat="false" ht="23.85" hidden="false" customHeight="false" outlineLevel="0" collapsed="false">
      <c r="A5" s="11" t="s">
        <v>796</v>
      </c>
      <c r="B5" s="10" t="s">
        <v>797</v>
      </c>
      <c r="C5" s="10" t="s">
        <v>798</v>
      </c>
      <c r="D5" s="10" t="s">
        <v>799</v>
      </c>
      <c r="E5" s="10" t="s">
        <v>800</v>
      </c>
      <c r="F5" s="9" t="s">
        <v>801</v>
      </c>
      <c r="G5" s="10" t="s">
        <v>802</v>
      </c>
      <c r="H5" s="16" t="s">
        <v>803</v>
      </c>
      <c r="I5" s="16"/>
    </row>
    <row r="6" customFormat="false" ht="23.85" hidden="false" customHeight="false" outlineLevel="0" collapsed="false">
      <c r="A6" s="11" t="s">
        <v>804</v>
      </c>
      <c r="B6" s="10" t="s">
        <v>805</v>
      </c>
      <c r="C6" s="10" t="s">
        <v>798</v>
      </c>
      <c r="D6" s="10" t="s">
        <v>806</v>
      </c>
      <c r="E6" s="10" t="s">
        <v>807</v>
      </c>
      <c r="F6" s="9" t="s">
        <v>801</v>
      </c>
      <c r="G6" s="10" t="s">
        <v>808</v>
      </c>
      <c r="H6" s="16" t="s">
        <v>809</v>
      </c>
      <c r="I6" s="16"/>
    </row>
    <row r="7" customFormat="false" ht="23.85" hidden="false" customHeight="false" outlineLevel="0" collapsed="false">
      <c r="A7" s="11" t="s">
        <v>810</v>
      </c>
      <c r="B7" s="10" t="s">
        <v>811</v>
      </c>
      <c r="C7" s="10" t="s">
        <v>798</v>
      </c>
      <c r="D7" s="10" t="s">
        <v>812</v>
      </c>
      <c r="E7" s="10" t="s">
        <v>813</v>
      </c>
      <c r="F7" s="9" t="s">
        <v>814</v>
      </c>
      <c r="G7" s="10" t="s">
        <v>815</v>
      </c>
      <c r="H7" s="16" t="s">
        <v>816</v>
      </c>
      <c r="I7" s="16"/>
    </row>
    <row r="8" customFormat="false" ht="35.05" hidden="false" customHeight="false" outlineLevel="0" collapsed="false">
      <c r="A8" s="11" t="s">
        <v>817</v>
      </c>
      <c r="B8" s="10" t="s">
        <v>818</v>
      </c>
      <c r="C8" s="10" t="s">
        <v>819</v>
      </c>
      <c r="D8" s="10" t="s">
        <v>820</v>
      </c>
      <c r="E8" s="10" t="s">
        <v>821</v>
      </c>
      <c r="F8" s="9" t="s">
        <v>822</v>
      </c>
      <c r="G8" s="10" t="s">
        <v>823</v>
      </c>
      <c r="H8" s="16" t="s">
        <v>824</v>
      </c>
      <c r="I8" s="16"/>
    </row>
    <row r="9" customFormat="false" ht="23.85" hidden="false" customHeight="false" outlineLevel="0" collapsed="false">
      <c r="A9" s="11" t="s">
        <v>825</v>
      </c>
      <c r="B9" s="10" t="s">
        <v>826</v>
      </c>
      <c r="C9" s="10" t="s">
        <v>827</v>
      </c>
      <c r="D9" s="10" t="s">
        <v>828</v>
      </c>
      <c r="E9" s="10" t="s">
        <v>829</v>
      </c>
      <c r="F9" s="9" t="s">
        <v>830</v>
      </c>
      <c r="G9" s="10" t="s">
        <v>831</v>
      </c>
      <c r="H9" s="16" t="s">
        <v>832</v>
      </c>
      <c r="I9" s="16"/>
    </row>
    <row r="10" customFormat="false" ht="15" hidden="false" customHeight="false" outlineLevel="0" collapsed="false">
      <c r="A10" s="11" t="s">
        <v>833</v>
      </c>
      <c r="B10" s="10" t="s">
        <v>834</v>
      </c>
      <c r="C10" s="10" t="s">
        <v>835</v>
      </c>
      <c r="D10" s="10" t="s">
        <v>836</v>
      </c>
      <c r="E10" s="10" t="s">
        <v>837</v>
      </c>
      <c r="F10" s="9" t="s">
        <v>801</v>
      </c>
      <c r="G10" s="10" t="s">
        <v>838</v>
      </c>
      <c r="H10" s="16" t="s">
        <v>839</v>
      </c>
      <c r="I10" s="16"/>
    </row>
    <row r="11" customFormat="false" ht="23.85" hidden="false" customHeight="false" outlineLevel="0" collapsed="false">
      <c r="A11" s="11" t="s">
        <v>840</v>
      </c>
      <c r="B11" s="10" t="s">
        <v>841</v>
      </c>
      <c r="C11" s="10" t="s">
        <v>842</v>
      </c>
      <c r="D11" s="10" t="s">
        <v>843</v>
      </c>
      <c r="E11" s="10" t="s">
        <v>691</v>
      </c>
      <c r="F11" s="9" t="s">
        <v>844</v>
      </c>
      <c r="G11" s="10" t="s">
        <v>845</v>
      </c>
      <c r="H11" s="16" t="s">
        <v>846</v>
      </c>
      <c r="I11" s="16"/>
    </row>
    <row r="12" customFormat="false" ht="23.85" hidden="false" customHeight="false" outlineLevel="0" collapsed="false">
      <c r="A12" s="11" t="s">
        <v>847</v>
      </c>
      <c r="B12" s="10" t="s">
        <v>848</v>
      </c>
      <c r="C12" s="10" t="s">
        <v>849</v>
      </c>
      <c r="D12" s="10" t="s">
        <v>850</v>
      </c>
      <c r="E12" s="10" t="s">
        <v>851</v>
      </c>
      <c r="F12" s="9" t="s">
        <v>852</v>
      </c>
      <c r="G12" s="10" t="s">
        <v>853</v>
      </c>
      <c r="H12" s="16" t="s">
        <v>839</v>
      </c>
      <c r="I12" s="16"/>
    </row>
    <row r="13" customFormat="false" ht="23.85" hidden="false" customHeight="false" outlineLevel="0" collapsed="false">
      <c r="A13" s="11" t="s">
        <v>854</v>
      </c>
      <c r="B13" s="10" t="s">
        <v>855</v>
      </c>
      <c r="C13" s="10" t="s">
        <v>856</v>
      </c>
      <c r="D13" s="10" t="s">
        <v>857</v>
      </c>
      <c r="E13" s="10" t="s">
        <v>858</v>
      </c>
      <c r="F13" s="9" t="s">
        <v>801</v>
      </c>
      <c r="G13" s="10" t="s">
        <v>859</v>
      </c>
      <c r="H13" s="16" t="s">
        <v>860</v>
      </c>
      <c r="I13" s="16"/>
    </row>
    <row r="14" customFormat="false" ht="23.85" hidden="false" customHeight="false" outlineLevel="0" collapsed="false">
      <c r="A14" s="11" t="s">
        <v>861</v>
      </c>
      <c r="B14" s="10" t="s">
        <v>862</v>
      </c>
      <c r="C14" s="10" t="s">
        <v>863</v>
      </c>
      <c r="D14" s="10" t="s">
        <v>864</v>
      </c>
      <c r="E14" s="10" t="s">
        <v>865</v>
      </c>
      <c r="F14" s="9" t="s">
        <v>866</v>
      </c>
      <c r="G14" s="10" t="s">
        <v>867</v>
      </c>
      <c r="H14" s="16" t="s">
        <v>860</v>
      </c>
      <c r="I14" s="16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6"/>
      <c r="I15" s="16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6"/>
      <c r="I16" s="16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6"/>
      <c r="I17" s="16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6"/>
      <c r="I18" s="16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6"/>
      <c r="I19" s="16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6"/>
      <c r="I20" s="16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6"/>
      <c r="I21" s="16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6"/>
      <c r="I22" s="16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6"/>
      <c r="I23" s="16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6"/>
      <c r="I2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2026-10-18T12:55:15Z</dcterms:created>
  <dc:creator>openpyxl</dc:creator>
  <dc:description/>
  <dc:language>en-US</dc:language>
  <cp:lastModifiedBy/>
  <dcterms:modified xsi:type="dcterms:W3CDTF">2026-10-18T12:55:15Z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